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joshg\OneDrive\Desktop\School Work\Grad School Work\Coding Data\Screener\"/>
    </mc:Choice>
  </mc:AlternateContent>
  <xr:revisionPtr revIDLastSave="0" documentId="13_ncr:1_{714E44B3-9F73-426F-9B95-6611B5522F9B}" xr6:coauthVersionLast="47" xr6:coauthVersionMax="47" xr10:uidLastSave="{00000000-0000-0000-0000-000000000000}"/>
  <bookViews>
    <workbookView xWindow="-110" yWindow="-110" windowWidth="25820" windowHeight="15500" activeTab="3" xr2:uid="{00000000-000D-0000-FFFF-FFFF00000000}"/>
  </bookViews>
  <sheets>
    <sheet name="Instructions" sheetId="1" r:id="rId1"/>
    <sheet name="Stock Data" sheetId="2" r:id="rId2"/>
    <sheet name="Optimization" sheetId="3" r:id="rId3"/>
    <sheet name="G&amp;K Analytics" sheetId="4" r:id="rId4"/>
    <sheet name="Dashboard" sheetId="5" r:id="rId5"/>
    <sheet name="Covariance Matrix" sheetId="6" r:id="rId6"/>
    <sheet name="Correlation Matrix" sheetId="7" r:id="rId7"/>
  </sheets>
  <definedNames>
    <definedName name="solver_adj" localSheetId="2" hidden="1">Optimization!$I$2:$I$26</definedName>
    <definedName name="solver_cvg" localSheetId="2" hidden="1">0.0001</definedName>
    <definedName name="solver_drv" localSheetId="2" hidden="1">1</definedName>
    <definedName name="solver_eng" localSheetId="2" hidden="1">1</definedName>
    <definedName name="solver_est" localSheetId="2" hidden="1">1</definedName>
    <definedName name="solver_itr" localSheetId="2" hidden="1">2147483647</definedName>
    <definedName name="solver_lhs1" localSheetId="2" hidden="1">Optimization!$B$14</definedName>
    <definedName name="solver_lhs2" localSheetId="2" hidden="1">Optimization!$B$15</definedName>
    <definedName name="solver_lhs3" localSheetId="2" hidden="1">Optimization!$B$6</definedName>
    <definedName name="solver_mip" localSheetId="2" hidden="1">2147483647</definedName>
    <definedName name="solver_mni" localSheetId="2" hidden="1">30</definedName>
    <definedName name="solver_mrt" localSheetId="2" hidden="1">0.075</definedName>
    <definedName name="solver_msl" localSheetId="2" hidden="1">2</definedName>
    <definedName name="solver_neg" localSheetId="2" hidden="1">1</definedName>
    <definedName name="solver_nod" localSheetId="2" hidden="1">2147483647</definedName>
    <definedName name="solver_num" localSheetId="2" hidden="1">3</definedName>
    <definedName name="solver_nwt" localSheetId="2" hidden="1">1</definedName>
    <definedName name="solver_opt" localSheetId="2" hidden="1">Optimization!$B$12</definedName>
    <definedName name="solver_pre" localSheetId="2" hidden="1">0.000001</definedName>
    <definedName name="solver_rbv" localSheetId="2" hidden="1">1</definedName>
    <definedName name="solver_rel1" localSheetId="2" hidden="1">2</definedName>
    <definedName name="solver_rel2" localSheetId="2" hidden="1">2</definedName>
    <definedName name="solver_rel3" localSheetId="2" hidden="1">1</definedName>
    <definedName name="solver_rhs1" localSheetId="2" hidden="1">25</definedName>
    <definedName name="solver_rhs2" localSheetId="2" hidden="1">100%</definedName>
    <definedName name="solver_rhs3" localSheetId="2" hidden="1">10%</definedName>
    <definedName name="solver_rlx" localSheetId="2" hidden="1">2</definedName>
    <definedName name="solver_rsd" localSheetId="2" hidden="1">0</definedName>
    <definedName name="solver_scl" localSheetId="2" hidden="1">1</definedName>
    <definedName name="solver_sho" localSheetId="2" hidden="1">2</definedName>
    <definedName name="solver_ssz" localSheetId="2" hidden="1">100</definedName>
    <definedName name="solver_tim" localSheetId="2" hidden="1">2147483647</definedName>
    <definedName name="solver_tol" localSheetId="2" hidden="1">0.01</definedName>
    <definedName name="solver_typ" localSheetId="2" hidden="1">1</definedName>
    <definedName name="solver_val" localSheetId="2" hidden="1">0</definedName>
    <definedName name="solver_ver" localSheetId="2" hidden="1">3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9" i="3" l="1"/>
  <c r="B18" i="3" s="1"/>
  <c r="B10" i="3"/>
  <c r="B7" i="5" s="1"/>
  <c r="E19" i="3"/>
  <c r="E8" i="4"/>
  <c r="E6" i="4"/>
  <c r="I102" i="3"/>
  <c r="J101" i="3"/>
  <c r="K101" i="3" s="1"/>
  <c r="H101" i="3"/>
  <c r="G101" i="3"/>
  <c r="F101" i="3"/>
  <c r="E101" i="3"/>
  <c r="D101" i="3"/>
  <c r="J100" i="3"/>
  <c r="K100" i="3" s="1"/>
  <c r="H100" i="3"/>
  <c r="G100" i="3"/>
  <c r="F100" i="3"/>
  <c r="E100" i="3"/>
  <c r="D100" i="3"/>
  <c r="J99" i="3"/>
  <c r="K99" i="3" s="1"/>
  <c r="H99" i="3"/>
  <c r="G99" i="3"/>
  <c r="F99" i="3"/>
  <c r="E99" i="3"/>
  <c r="D99" i="3"/>
  <c r="J98" i="3"/>
  <c r="K98" i="3" s="1"/>
  <c r="H98" i="3"/>
  <c r="G98" i="3"/>
  <c r="F98" i="3"/>
  <c r="E98" i="3"/>
  <c r="D98" i="3"/>
  <c r="K97" i="3"/>
  <c r="J97" i="3"/>
  <c r="H97" i="3"/>
  <c r="G97" i="3"/>
  <c r="F97" i="3"/>
  <c r="E97" i="3"/>
  <c r="D97" i="3"/>
  <c r="J96" i="3"/>
  <c r="K96" i="3" s="1"/>
  <c r="H96" i="3"/>
  <c r="G96" i="3"/>
  <c r="F96" i="3"/>
  <c r="E96" i="3"/>
  <c r="D96" i="3"/>
  <c r="J95" i="3"/>
  <c r="K95" i="3" s="1"/>
  <c r="H95" i="3"/>
  <c r="G95" i="3"/>
  <c r="F95" i="3"/>
  <c r="E95" i="3"/>
  <c r="D95" i="3"/>
  <c r="J94" i="3"/>
  <c r="K94" i="3" s="1"/>
  <c r="H94" i="3"/>
  <c r="G94" i="3"/>
  <c r="F94" i="3"/>
  <c r="E94" i="3"/>
  <c r="D94" i="3"/>
  <c r="J93" i="3"/>
  <c r="K93" i="3" s="1"/>
  <c r="H93" i="3"/>
  <c r="G93" i="3"/>
  <c r="F93" i="3"/>
  <c r="E93" i="3"/>
  <c r="D93" i="3"/>
  <c r="J92" i="3"/>
  <c r="K92" i="3" s="1"/>
  <c r="H92" i="3"/>
  <c r="G92" i="3"/>
  <c r="F92" i="3"/>
  <c r="E92" i="3"/>
  <c r="D92" i="3"/>
  <c r="J91" i="3"/>
  <c r="K91" i="3" s="1"/>
  <c r="H91" i="3"/>
  <c r="G91" i="3"/>
  <c r="F91" i="3"/>
  <c r="E91" i="3"/>
  <c r="D91" i="3"/>
  <c r="J90" i="3"/>
  <c r="K90" i="3" s="1"/>
  <c r="H90" i="3"/>
  <c r="G90" i="3"/>
  <c r="F90" i="3"/>
  <c r="E90" i="3"/>
  <c r="D90" i="3"/>
  <c r="J89" i="3"/>
  <c r="K89" i="3" s="1"/>
  <c r="H89" i="3"/>
  <c r="G89" i="3"/>
  <c r="F89" i="3"/>
  <c r="E89" i="3"/>
  <c r="D89" i="3"/>
  <c r="J88" i="3"/>
  <c r="K88" i="3" s="1"/>
  <c r="H88" i="3"/>
  <c r="G88" i="3"/>
  <c r="F88" i="3"/>
  <c r="E88" i="3"/>
  <c r="D88" i="3"/>
  <c r="J87" i="3"/>
  <c r="K87" i="3" s="1"/>
  <c r="H87" i="3"/>
  <c r="G87" i="3"/>
  <c r="F87" i="3"/>
  <c r="E87" i="3"/>
  <c r="D87" i="3"/>
  <c r="J86" i="3"/>
  <c r="K86" i="3" s="1"/>
  <c r="H86" i="3"/>
  <c r="G86" i="3"/>
  <c r="F86" i="3"/>
  <c r="E86" i="3"/>
  <c r="D86" i="3"/>
  <c r="J85" i="3"/>
  <c r="K85" i="3" s="1"/>
  <c r="H85" i="3"/>
  <c r="G85" i="3"/>
  <c r="F85" i="3"/>
  <c r="E85" i="3"/>
  <c r="D85" i="3"/>
  <c r="J84" i="3"/>
  <c r="K84" i="3" s="1"/>
  <c r="H84" i="3"/>
  <c r="G84" i="3"/>
  <c r="F84" i="3"/>
  <c r="E84" i="3"/>
  <c r="D84" i="3"/>
  <c r="J83" i="3"/>
  <c r="K83" i="3" s="1"/>
  <c r="H83" i="3"/>
  <c r="G83" i="3"/>
  <c r="F83" i="3"/>
  <c r="E83" i="3"/>
  <c r="D83" i="3"/>
  <c r="J82" i="3"/>
  <c r="K82" i="3" s="1"/>
  <c r="H82" i="3"/>
  <c r="G82" i="3"/>
  <c r="F82" i="3"/>
  <c r="E82" i="3"/>
  <c r="D82" i="3"/>
  <c r="J81" i="3"/>
  <c r="K81" i="3" s="1"/>
  <c r="H81" i="3"/>
  <c r="G81" i="3"/>
  <c r="F81" i="3"/>
  <c r="E81" i="3"/>
  <c r="D81" i="3"/>
  <c r="J80" i="3"/>
  <c r="K80" i="3" s="1"/>
  <c r="H80" i="3"/>
  <c r="G80" i="3"/>
  <c r="F80" i="3"/>
  <c r="E80" i="3"/>
  <c r="D80" i="3"/>
  <c r="J79" i="3"/>
  <c r="K79" i="3" s="1"/>
  <c r="H79" i="3"/>
  <c r="G79" i="3"/>
  <c r="F79" i="3"/>
  <c r="E79" i="3"/>
  <c r="D79" i="3"/>
  <c r="J78" i="3"/>
  <c r="K78" i="3" s="1"/>
  <c r="H78" i="3"/>
  <c r="G78" i="3"/>
  <c r="F78" i="3"/>
  <c r="E78" i="3"/>
  <c r="D78" i="3"/>
  <c r="J77" i="3"/>
  <c r="K77" i="3" s="1"/>
  <c r="H77" i="3"/>
  <c r="G77" i="3"/>
  <c r="F77" i="3"/>
  <c r="E77" i="3"/>
  <c r="D77" i="3"/>
  <c r="K76" i="3"/>
  <c r="J76" i="3"/>
  <c r="H76" i="3"/>
  <c r="G76" i="3"/>
  <c r="F76" i="3"/>
  <c r="E76" i="3"/>
  <c r="D76" i="3"/>
  <c r="J75" i="3"/>
  <c r="K75" i="3" s="1"/>
  <c r="H75" i="3"/>
  <c r="G75" i="3"/>
  <c r="F75" i="3"/>
  <c r="E75" i="3"/>
  <c r="D75" i="3"/>
  <c r="J74" i="3"/>
  <c r="K74" i="3" s="1"/>
  <c r="H74" i="3"/>
  <c r="G74" i="3"/>
  <c r="F74" i="3"/>
  <c r="E74" i="3"/>
  <c r="D74" i="3"/>
  <c r="K73" i="3"/>
  <c r="J73" i="3"/>
  <c r="H73" i="3"/>
  <c r="G73" i="3"/>
  <c r="F73" i="3"/>
  <c r="E73" i="3"/>
  <c r="D73" i="3"/>
  <c r="J72" i="3"/>
  <c r="K72" i="3" s="1"/>
  <c r="H72" i="3"/>
  <c r="G72" i="3"/>
  <c r="F72" i="3"/>
  <c r="E72" i="3"/>
  <c r="D72" i="3"/>
  <c r="J71" i="3"/>
  <c r="K71" i="3" s="1"/>
  <c r="H71" i="3"/>
  <c r="G71" i="3"/>
  <c r="F71" i="3"/>
  <c r="E71" i="3"/>
  <c r="D71" i="3"/>
  <c r="K70" i="3"/>
  <c r="J70" i="3"/>
  <c r="H70" i="3"/>
  <c r="G70" i="3"/>
  <c r="F70" i="3"/>
  <c r="E70" i="3"/>
  <c r="D70" i="3"/>
  <c r="J69" i="3"/>
  <c r="K69" i="3" s="1"/>
  <c r="H69" i="3"/>
  <c r="G69" i="3"/>
  <c r="F69" i="3"/>
  <c r="E69" i="3"/>
  <c r="D69" i="3"/>
  <c r="J68" i="3"/>
  <c r="K68" i="3" s="1"/>
  <c r="H68" i="3"/>
  <c r="G68" i="3"/>
  <c r="F68" i="3"/>
  <c r="E68" i="3"/>
  <c r="D68" i="3"/>
  <c r="J67" i="3"/>
  <c r="K67" i="3" s="1"/>
  <c r="H67" i="3"/>
  <c r="G67" i="3"/>
  <c r="F67" i="3"/>
  <c r="E67" i="3"/>
  <c r="D67" i="3"/>
  <c r="J66" i="3"/>
  <c r="K66" i="3" s="1"/>
  <c r="H66" i="3"/>
  <c r="G66" i="3"/>
  <c r="F66" i="3"/>
  <c r="E66" i="3"/>
  <c r="D66" i="3"/>
  <c r="K65" i="3"/>
  <c r="J65" i="3"/>
  <c r="H65" i="3"/>
  <c r="G65" i="3"/>
  <c r="F65" i="3"/>
  <c r="E65" i="3"/>
  <c r="D65" i="3"/>
  <c r="J64" i="3"/>
  <c r="K64" i="3" s="1"/>
  <c r="H64" i="3"/>
  <c r="G64" i="3"/>
  <c r="F64" i="3"/>
  <c r="E64" i="3"/>
  <c r="D64" i="3"/>
  <c r="J63" i="3"/>
  <c r="K63" i="3" s="1"/>
  <c r="H63" i="3"/>
  <c r="G63" i="3"/>
  <c r="F63" i="3"/>
  <c r="E63" i="3"/>
  <c r="D63" i="3"/>
  <c r="J62" i="3"/>
  <c r="K62" i="3" s="1"/>
  <c r="H62" i="3"/>
  <c r="G62" i="3"/>
  <c r="F62" i="3"/>
  <c r="E62" i="3"/>
  <c r="D62" i="3"/>
  <c r="J61" i="3"/>
  <c r="K61" i="3" s="1"/>
  <c r="H61" i="3"/>
  <c r="G61" i="3"/>
  <c r="F61" i="3"/>
  <c r="E61" i="3"/>
  <c r="D61" i="3"/>
  <c r="J60" i="3"/>
  <c r="K60" i="3" s="1"/>
  <c r="H60" i="3"/>
  <c r="G60" i="3"/>
  <c r="F60" i="3"/>
  <c r="E60" i="3"/>
  <c r="D60" i="3"/>
  <c r="J59" i="3"/>
  <c r="K59" i="3" s="1"/>
  <c r="H59" i="3"/>
  <c r="G59" i="3"/>
  <c r="F59" i="3"/>
  <c r="E59" i="3"/>
  <c r="D59" i="3"/>
  <c r="J58" i="3"/>
  <c r="K58" i="3" s="1"/>
  <c r="H58" i="3"/>
  <c r="G58" i="3"/>
  <c r="F58" i="3"/>
  <c r="E58" i="3"/>
  <c r="D58" i="3"/>
  <c r="J57" i="3"/>
  <c r="K57" i="3" s="1"/>
  <c r="H57" i="3"/>
  <c r="G57" i="3"/>
  <c r="F57" i="3"/>
  <c r="E57" i="3"/>
  <c r="D57" i="3"/>
  <c r="J56" i="3"/>
  <c r="K56" i="3" s="1"/>
  <c r="H56" i="3"/>
  <c r="G56" i="3"/>
  <c r="F56" i="3"/>
  <c r="E56" i="3"/>
  <c r="D56" i="3"/>
  <c r="J55" i="3"/>
  <c r="K55" i="3" s="1"/>
  <c r="H55" i="3"/>
  <c r="G55" i="3"/>
  <c r="F55" i="3"/>
  <c r="E55" i="3"/>
  <c r="D55" i="3"/>
  <c r="J54" i="3"/>
  <c r="K54" i="3" s="1"/>
  <c r="H54" i="3"/>
  <c r="G54" i="3"/>
  <c r="F54" i="3"/>
  <c r="E54" i="3"/>
  <c r="D54" i="3"/>
  <c r="J53" i="3"/>
  <c r="K53" i="3" s="1"/>
  <c r="H53" i="3"/>
  <c r="G53" i="3"/>
  <c r="F53" i="3"/>
  <c r="E53" i="3"/>
  <c r="D53" i="3"/>
  <c r="J52" i="3"/>
  <c r="K52" i="3" s="1"/>
  <c r="H52" i="3"/>
  <c r="G52" i="3"/>
  <c r="F52" i="3"/>
  <c r="E52" i="3"/>
  <c r="D52" i="3"/>
  <c r="J51" i="3"/>
  <c r="K51" i="3" s="1"/>
  <c r="H51" i="3"/>
  <c r="G51" i="3"/>
  <c r="F51" i="3"/>
  <c r="E51" i="3"/>
  <c r="D51" i="3"/>
  <c r="J50" i="3"/>
  <c r="K50" i="3" s="1"/>
  <c r="H50" i="3"/>
  <c r="G50" i="3"/>
  <c r="F50" i="3"/>
  <c r="E50" i="3"/>
  <c r="D50" i="3"/>
  <c r="J49" i="3"/>
  <c r="K49" i="3" s="1"/>
  <c r="H49" i="3"/>
  <c r="G49" i="3"/>
  <c r="F49" i="3"/>
  <c r="E49" i="3"/>
  <c r="D49" i="3"/>
  <c r="J48" i="3"/>
  <c r="K48" i="3" s="1"/>
  <c r="H48" i="3"/>
  <c r="G48" i="3"/>
  <c r="F48" i="3"/>
  <c r="E48" i="3"/>
  <c r="D48" i="3"/>
  <c r="J47" i="3"/>
  <c r="K47" i="3" s="1"/>
  <c r="H47" i="3"/>
  <c r="G47" i="3"/>
  <c r="F47" i="3"/>
  <c r="E47" i="3"/>
  <c r="D47" i="3"/>
  <c r="J46" i="3"/>
  <c r="K46" i="3" s="1"/>
  <c r="H46" i="3"/>
  <c r="G46" i="3"/>
  <c r="F46" i="3"/>
  <c r="E46" i="3"/>
  <c r="D46" i="3"/>
  <c r="J45" i="3"/>
  <c r="K45" i="3" s="1"/>
  <c r="H45" i="3"/>
  <c r="G45" i="3"/>
  <c r="F45" i="3"/>
  <c r="E45" i="3"/>
  <c r="D45" i="3"/>
  <c r="K44" i="3"/>
  <c r="J44" i="3"/>
  <c r="H44" i="3"/>
  <c r="G44" i="3"/>
  <c r="F44" i="3"/>
  <c r="E44" i="3"/>
  <c r="D44" i="3"/>
  <c r="J43" i="3"/>
  <c r="K43" i="3" s="1"/>
  <c r="H43" i="3"/>
  <c r="G43" i="3"/>
  <c r="F43" i="3"/>
  <c r="E43" i="3"/>
  <c r="D43" i="3"/>
  <c r="J42" i="3"/>
  <c r="K42" i="3" s="1"/>
  <c r="H42" i="3"/>
  <c r="G42" i="3"/>
  <c r="F42" i="3"/>
  <c r="E42" i="3"/>
  <c r="D42" i="3"/>
  <c r="K41" i="3"/>
  <c r="J41" i="3"/>
  <c r="H41" i="3"/>
  <c r="G41" i="3"/>
  <c r="F41" i="3"/>
  <c r="E41" i="3"/>
  <c r="D41" i="3"/>
  <c r="J40" i="3"/>
  <c r="K40" i="3" s="1"/>
  <c r="H40" i="3"/>
  <c r="G40" i="3"/>
  <c r="F40" i="3"/>
  <c r="E40" i="3"/>
  <c r="D40" i="3"/>
  <c r="J39" i="3"/>
  <c r="K39" i="3" s="1"/>
  <c r="H39" i="3"/>
  <c r="G39" i="3"/>
  <c r="F39" i="3"/>
  <c r="E39" i="3"/>
  <c r="D39" i="3"/>
  <c r="K38" i="3"/>
  <c r="J38" i="3"/>
  <c r="H38" i="3"/>
  <c r="G38" i="3"/>
  <c r="F38" i="3"/>
  <c r="E38" i="3"/>
  <c r="D38" i="3"/>
  <c r="J37" i="3"/>
  <c r="K37" i="3" s="1"/>
  <c r="H37" i="3"/>
  <c r="G37" i="3"/>
  <c r="F37" i="3"/>
  <c r="E37" i="3"/>
  <c r="D37" i="3"/>
  <c r="J36" i="3"/>
  <c r="K36" i="3" s="1"/>
  <c r="H36" i="3"/>
  <c r="G36" i="3"/>
  <c r="F36" i="3"/>
  <c r="E36" i="3"/>
  <c r="D36" i="3"/>
  <c r="J35" i="3"/>
  <c r="K35" i="3" s="1"/>
  <c r="H35" i="3"/>
  <c r="G35" i="3"/>
  <c r="F35" i="3"/>
  <c r="E35" i="3"/>
  <c r="D35" i="3"/>
  <c r="J34" i="3"/>
  <c r="K34" i="3" s="1"/>
  <c r="H34" i="3"/>
  <c r="G34" i="3"/>
  <c r="F34" i="3"/>
  <c r="E34" i="3"/>
  <c r="D34" i="3"/>
  <c r="K33" i="3"/>
  <c r="J33" i="3"/>
  <c r="H33" i="3"/>
  <c r="G33" i="3"/>
  <c r="F33" i="3"/>
  <c r="E33" i="3"/>
  <c r="D33" i="3"/>
  <c r="J32" i="3"/>
  <c r="K32" i="3" s="1"/>
  <c r="H32" i="3"/>
  <c r="G32" i="3"/>
  <c r="F32" i="3"/>
  <c r="E32" i="3"/>
  <c r="D32" i="3"/>
  <c r="J31" i="3"/>
  <c r="K31" i="3" s="1"/>
  <c r="H31" i="3"/>
  <c r="G31" i="3"/>
  <c r="F31" i="3"/>
  <c r="E31" i="3"/>
  <c r="D31" i="3"/>
  <c r="J30" i="3"/>
  <c r="K30" i="3" s="1"/>
  <c r="H30" i="3"/>
  <c r="G30" i="3"/>
  <c r="F30" i="3"/>
  <c r="E30" i="3"/>
  <c r="D30" i="3"/>
  <c r="J29" i="3"/>
  <c r="K29" i="3" s="1"/>
  <c r="H29" i="3"/>
  <c r="G29" i="3"/>
  <c r="F29" i="3"/>
  <c r="E29" i="3"/>
  <c r="D29" i="3"/>
  <c r="J28" i="3"/>
  <c r="K28" i="3" s="1"/>
  <c r="H28" i="3"/>
  <c r="G28" i="3"/>
  <c r="F28" i="3"/>
  <c r="E28" i="3"/>
  <c r="D28" i="3"/>
  <c r="J27" i="3"/>
  <c r="K27" i="3" s="1"/>
  <c r="H27" i="3"/>
  <c r="G27" i="3"/>
  <c r="F27" i="3"/>
  <c r="E27" i="3"/>
  <c r="D27" i="3"/>
  <c r="J26" i="3"/>
  <c r="K26" i="3" s="1"/>
  <c r="H26" i="3"/>
  <c r="G26" i="3"/>
  <c r="F26" i="3"/>
  <c r="E26" i="3"/>
  <c r="D26" i="3"/>
  <c r="J25" i="3"/>
  <c r="K25" i="3" s="1"/>
  <c r="H25" i="3"/>
  <c r="G25" i="3"/>
  <c r="F25" i="3"/>
  <c r="E25" i="3"/>
  <c r="D25" i="3"/>
  <c r="J24" i="3"/>
  <c r="K24" i="3" s="1"/>
  <c r="H24" i="3"/>
  <c r="G24" i="3"/>
  <c r="F24" i="3"/>
  <c r="E24" i="3"/>
  <c r="D24" i="3"/>
  <c r="J23" i="3"/>
  <c r="K23" i="3" s="1"/>
  <c r="H23" i="3"/>
  <c r="G23" i="3"/>
  <c r="F23" i="3"/>
  <c r="E23" i="3"/>
  <c r="D23" i="3"/>
  <c r="J22" i="3"/>
  <c r="K22" i="3" s="1"/>
  <c r="H22" i="3"/>
  <c r="G22" i="3"/>
  <c r="F22" i="3"/>
  <c r="E22" i="3"/>
  <c r="D22" i="3"/>
  <c r="J21" i="3"/>
  <c r="K21" i="3" s="1"/>
  <c r="H21" i="3"/>
  <c r="G21" i="3"/>
  <c r="F21" i="3"/>
  <c r="E21" i="3"/>
  <c r="D21" i="3"/>
  <c r="J20" i="3"/>
  <c r="K20" i="3" s="1"/>
  <c r="H20" i="3"/>
  <c r="G20" i="3"/>
  <c r="F20" i="3"/>
  <c r="E20" i="3"/>
  <c r="D20" i="3"/>
  <c r="J19" i="3"/>
  <c r="K19" i="3" s="1"/>
  <c r="H19" i="3"/>
  <c r="G19" i="3"/>
  <c r="F19" i="3"/>
  <c r="D19" i="3"/>
  <c r="J18" i="3"/>
  <c r="K18" i="3" s="1"/>
  <c r="H18" i="3"/>
  <c r="G18" i="3"/>
  <c r="F18" i="3"/>
  <c r="E18" i="3"/>
  <c r="D18" i="3"/>
  <c r="J17" i="3"/>
  <c r="K17" i="3" s="1"/>
  <c r="H17" i="3"/>
  <c r="G17" i="3"/>
  <c r="F17" i="3"/>
  <c r="E17" i="3"/>
  <c r="D17" i="3"/>
  <c r="J16" i="3"/>
  <c r="K16" i="3" s="1"/>
  <c r="H16" i="3"/>
  <c r="G16" i="3"/>
  <c r="F16" i="3"/>
  <c r="E16" i="3"/>
  <c r="D16" i="3"/>
  <c r="K15" i="3"/>
  <c r="J15" i="3"/>
  <c r="H15" i="3"/>
  <c r="G15" i="3"/>
  <c r="F15" i="3"/>
  <c r="E15" i="3"/>
  <c r="D15" i="3"/>
  <c r="B15" i="3"/>
  <c r="K14" i="3"/>
  <c r="J14" i="3"/>
  <c r="H14" i="3"/>
  <c r="G14" i="3"/>
  <c r="F14" i="3"/>
  <c r="E14" i="3"/>
  <c r="D14" i="3"/>
  <c r="B14" i="3"/>
  <c r="B10" i="5" s="1"/>
  <c r="J13" i="3"/>
  <c r="K13" i="3" s="1"/>
  <c r="H13" i="3"/>
  <c r="G13" i="3"/>
  <c r="F13" i="3"/>
  <c r="E13" i="3"/>
  <c r="D13" i="3"/>
  <c r="J12" i="3"/>
  <c r="K12" i="3" s="1"/>
  <c r="H12" i="3"/>
  <c r="G12" i="3"/>
  <c r="F12" i="3"/>
  <c r="E12" i="3"/>
  <c r="D12" i="3"/>
  <c r="K11" i="3"/>
  <c r="J11" i="3"/>
  <c r="H11" i="3"/>
  <c r="G11" i="3"/>
  <c r="F11" i="3"/>
  <c r="E11" i="3"/>
  <c r="D11" i="3"/>
  <c r="K10" i="3"/>
  <c r="J10" i="3"/>
  <c r="H10" i="3"/>
  <c r="G10" i="3"/>
  <c r="F10" i="3"/>
  <c r="E10" i="3"/>
  <c r="D10" i="3"/>
  <c r="J9" i="3"/>
  <c r="K9" i="3" s="1"/>
  <c r="H9" i="3"/>
  <c r="G9" i="3"/>
  <c r="F9" i="3"/>
  <c r="E9" i="3"/>
  <c r="D9" i="3"/>
  <c r="J8" i="3"/>
  <c r="K8" i="3" s="1"/>
  <c r="H8" i="3"/>
  <c r="G8" i="3"/>
  <c r="F8" i="3"/>
  <c r="E8" i="3"/>
  <c r="D8" i="3"/>
  <c r="J7" i="3"/>
  <c r="K7" i="3" s="1"/>
  <c r="H7" i="3"/>
  <c r="G7" i="3"/>
  <c r="F7" i="3"/>
  <c r="E7" i="3"/>
  <c r="D7" i="3"/>
  <c r="J6" i="3"/>
  <c r="K6" i="3" s="1"/>
  <c r="H6" i="3"/>
  <c r="G6" i="3"/>
  <c r="F6" i="3"/>
  <c r="E6" i="3"/>
  <c r="D6" i="3"/>
  <c r="B6" i="3"/>
  <c r="J5" i="3"/>
  <c r="K5" i="3" s="1"/>
  <c r="H5" i="3"/>
  <c r="G5" i="3"/>
  <c r="F5" i="3"/>
  <c r="E5" i="3"/>
  <c r="D5" i="3"/>
  <c r="B5" i="3"/>
  <c r="J4" i="3"/>
  <c r="K4" i="3" s="1"/>
  <c r="H4" i="3"/>
  <c r="G4" i="3"/>
  <c r="F4" i="3"/>
  <c r="B13" i="3" s="1"/>
  <c r="B9" i="5" s="1"/>
  <c r="E4" i="3"/>
  <c r="D4" i="3"/>
  <c r="K3" i="3"/>
  <c r="J3" i="3"/>
  <c r="H3" i="3"/>
  <c r="G3" i="3"/>
  <c r="F3" i="3"/>
  <c r="E3" i="3"/>
  <c r="D3" i="3"/>
  <c r="J2" i="3"/>
  <c r="K2" i="3" s="1"/>
  <c r="H2" i="3"/>
  <c r="G2" i="3"/>
  <c r="F2" i="3"/>
  <c r="E2" i="3"/>
  <c r="D2" i="3"/>
  <c r="B11" i="3" l="1"/>
  <c r="B12" i="3" s="1"/>
  <c r="B4" i="5" s="1"/>
  <c r="B17" i="3"/>
  <c r="B8" i="5" s="1"/>
  <c r="B6" i="5"/>
  <c r="C7" i="4"/>
  <c r="C9" i="4" l="1"/>
  <c r="E7" i="4"/>
  <c r="E9" i="4" l="1"/>
  <c r="B11" i="5"/>
  <c r="C10" i="4"/>
  <c r="E10" i="4" s="1"/>
  <c r="B5" i="5"/>
</calcChain>
</file>

<file path=xl/sharedStrings.xml><?xml version="1.0" encoding="utf-8"?>
<sst xmlns="http://schemas.openxmlformats.org/spreadsheetml/2006/main" count="269" uniqueCount="142">
  <si>
    <t>📋 MAGIC FORMULA PORTFOLIO OPTIMIZER</t>
  </si>
  <si>
    <t>HOW TO USE:</t>
  </si>
  <si>
    <t>1. Run the Python script:</t>
  </si>
  <si>
    <t xml:space="preserve">   python magic_formula_screener.py</t>
  </si>
  <si>
    <t>2. This creates magic_formula_data.xlsx with live stock data</t>
  </si>
  <si>
    <t>3. Copy data from magic_formula_data.xlsx:</t>
  </si>
  <si>
    <t xml:space="preserve">   • Open magic_formula_data.xlsx</t>
  </si>
  <si>
    <t xml:space="preserve">   • Go to "Selected Stocks" sheet</t>
  </si>
  <si>
    <t xml:space="preserve">   • Copy all data (Ctrl+A, Ctrl+C)</t>
  </si>
  <si>
    <t xml:space="preserve">   • Paste into "Stock Data" sheet in this workbook (cell A3)</t>
  </si>
  <si>
    <t>4. Run Solver:</t>
  </si>
  <si>
    <t xml:space="preserve">   • Data → Solver</t>
  </si>
  <si>
    <t xml:space="preserve">   • Objective: Optimization!B12 (Sharpe Ratio)</t>
  </si>
  <si>
    <t xml:space="preserve">   • To: Max</t>
  </si>
  <si>
    <t xml:space="preserve">   • Changing: Optimization!I2:I101</t>
  </si>
  <si>
    <t xml:space="preserve">   • Constraints: I102 = 1, I2:I101 &gt;= 0, I2:I101 &lt;= 0.05</t>
  </si>
  <si>
    <t xml:space="preserve">   • Solve</t>
  </si>
  <si>
    <t>5. Review results in Dashboard</t>
  </si>
  <si>
    <t>REFRESH DATA:</t>
  </si>
  <si>
    <t xml:space="preserve">   Re-run Python script anytime for fresh data</t>
  </si>
  <si>
    <t>PASTE DATA FROM magic_formula_data.xlsx "Selected Stocks" sheet below</t>
  </si>
  <si>
    <t>MF Rank</t>
  </si>
  <si>
    <t>Ticker</t>
  </si>
  <si>
    <t>Company</t>
  </si>
  <si>
    <t>Sector</t>
  </si>
  <si>
    <t>Price</t>
  </si>
  <si>
    <t>Mkt Cap ($B)</t>
  </si>
  <si>
    <t>P/E</t>
  </si>
  <si>
    <t>Earnings Yield</t>
  </si>
  <si>
    <t>ROC (%)</t>
  </si>
  <si>
    <t>MF Score</t>
  </si>
  <si>
    <t>Beta</t>
  </si>
  <si>
    <t>Volatility</t>
  </si>
  <si>
    <t>Expected Return</t>
  </si>
  <si>
    <t>Bench Weight</t>
  </si>
  <si>
    <t>Portfolio Weight</t>
  </si>
  <si>
    <t>WU</t>
  </si>
  <si>
    <t>Western Union Company (The)</t>
  </si>
  <si>
    <t>Financial Services</t>
  </si>
  <si>
    <t>CALM</t>
  </si>
  <si>
    <t>Cal-Maine Foods, Inc.</t>
  </si>
  <si>
    <t>Consumer Defensive</t>
  </si>
  <si>
    <t>SLDE</t>
  </si>
  <si>
    <t>Slide Insurance Holdings, Inc.</t>
  </si>
  <si>
    <t>BYD</t>
  </si>
  <si>
    <t>Boyd Gaming Corporation</t>
  </si>
  <si>
    <t>Consumer Cyclical</t>
  </si>
  <si>
    <t>NATL</t>
  </si>
  <si>
    <t>NCR Atleos Corporation</t>
  </si>
  <si>
    <t>Technology</t>
  </si>
  <si>
    <t>PTCT</t>
  </si>
  <si>
    <t>PTC Therapeutics, Inc.</t>
  </si>
  <si>
    <t>Healthcare</t>
  </si>
  <si>
    <t>HCI</t>
  </si>
  <si>
    <t>HCI Group, Inc.</t>
  </si>
  <si>
    <t>ALL</t>
  </si>
  <si>
    <t>Allstate Corporation (The)</t>
  </si>
  <si>
    <t>DVA</t>
  </si>
  <si>
    <t>DaVita Inc.</t>
  </si>
  <si>
    <t>RRR</t>
  </si>
  <si>
    <t>Red Rock Resorts, Inc.</t>
  </si>
  <si>
    <t>PPC</t>
  </si>
  <si>
    <t>Pilgrim's Pride Corporation</t>
  </si>
  <si>
    <t>AVGO</t>
  </si>
  <si>
    <t>Broadcom Inc.</t>
  </si>
  <si>
    <t>ANF</t>
  </si>
  <si>
    <t>Abercrombie &amp; Fitch Company</t>
  </si>
  <si>
    <t>HRB</t>
  </si>
  <si>
    <t>H&amp;R Block, Inc.</t>
  </si>
  <si>
    <t>APAM</t>
  </si>
  <si>
    <t>Artisan Partners Asset Manageme</t>
  </si>
  <si>
    <t>LNG</t>
  </si>
  <si>
    <t>Cheniere Energy, Inc.</t>
  </si>
  <si>
    <t>Energy</t>
  </si>
  <si>
    <t>CHTR</t>
  </si>
  <si>
    <t>Charter Communications, Inc.</t>
  </si>
  <si>
    <t>Communication Services</t>
  </si>
  <si>
    <t>TIGO</t>
  </si>
  <si>
    <t>Millicom International Cellular</t>
  </si>
  <si>
    <t>BBWI</t>
  </si>
  <si>
    <t>Bath &amp; Body Works, Inc.</t>
  </si>
  <si>
    <t>ACI</t>
  </si>
  <si>
    <t>Albertsons Companies, Inc.</t>
  </si>
  <si>
    <t>KD</t>
  </si>
  <si>
    <t>Kyndryl Holdings, Inc.</t>
  </si>
  <si>
    <t>APA</t>
  </si>
  <si>
    <t>APA Corporation</t>
  </si>
  <si>
    <t>HG</t>
  </si>
  <si>
    <t>Hamilton Insurance Group, Ltd.</t>
  </si>
  <si>
    <t>KMB</t>
  </si>
  <si>
    <t>Kimberly-Clark Corporation</t>
  </si>
  <si>
    <t>WFRD</t>
  </si>
  <si>
    <t>Weatherford International plc</t>
  </si>
  <si>
    <t>PORTFOLIO OPTIMIZATION</t>
  </si>
  <si>
    <t>Exp Ret</t>
  </si>
  <si>
    <t>Vol</t>
  </si>
  <si>
    <t>TARGET WT</t>
  </si>
  <si>
    <t>Bench Wt</t>
  </si>
  <si>
    <t>Active Wt</t>
  </si>
  <si>
    <t>PARAMETERS</t>
  </si>
  <si>
    <t>Risk-Free Rate</t>
  </si>
  <si>
    <t>Avg Correlation</t>
  </si>
  <si>
    <t>Max Position Wt</t>
  </si>
  <si>
    <t>RESULTS</t>
  </si>
  <si>
    <t>Portfolio Volatility</t>
  </si>
  <si>
    <t>Excess Return</t>
  </si>
  <si>
    <t>SHARPE RATIO</t>
  </si>
  <si>
    <t>Portfolio Beta</t>
  </si>
  <si>
    <t># of Positions</t>
  </si>
  <si>
    <t>Sum of Weights</t>
  </si>
  <si>
    <t>Benchmark Return</t>
  </si>
  <si>
    <t>Tracking Error</t>
  </si>
  <si>
    <t>Information Ratio</t>
  </si>
  <si>
    <t>TOTAL</t>
  </si>
  <si>
    <t>GRINOLD-KAHN ANALYTICS</t>
  </si>
  <si>
    <t>IR = IC × √BR × TC</t>
  </si>
  <si>
    <t>Component</t>
  </si>
  <si>
    <t>Symbol</t>
  </si>
  <si>
    <t>Value</t>
  </si>
  <si>
    <t>Target</t>
  </si>
  <si>
    <t>Status</t>
  </si>
  <si>
    <t>Information Coefficient</t>
  </si>
  <si>
    <t>IC</t>
  </si>
  <si>
    <t>&gt; 0.05</t>
  </si>
  <si>
    <t>Breadth</t>
  </si>
  <si>
    <t>BR</t>
  </si>
  <si>
    <t>≥ 100</t>
  </si>
  <si>
    <t>Transfer Coefficient</t>
  </si>
  <si>
    <t>TC</t>
  </si>
  <si>
    <t>≥ 0.80</t>
  </si>
  <si>
    <t>Implied IR</t>
  </si>
  <si>
    <t>IR*</t>
  </si>
  <si>
    <t>≥ 0.50</t>
  </si>
  <si>
    <t>Realized IR</t>
  </si>
  <si>
    <t>IR</t>
  </si>
  <si>
    <t>&gt; 0.30</t>
  </si>
  <si>
    <t>Implied IR = 0.05 × √100 × 1.0 = 0.50</t>
  </si>
  <si>
    <t>PORTFOLIO DASHBOARD</t>
  </si>
  <si>
    <t>KEY METRICS</t>
  </si>
  <si>
    <t>Sharpe Ratio</t>
  </si>
  <si>
    <t># Positions</t>
  </si>
  <si>
    <t>Implied IR (G&amp;K)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</si>
</sst>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%"/>
    <numFmt numFmtId="165" formatCode="\+0.00%;\-0.00%"/>
    <numFmt numFmtId="166" formatCode="0.000"/>
  </numFmts>
  <fonts count="12" x14ac:knownFonts="1">
    <font>
      <sz val="11"/>
      <color theme="1"/>
      <name val="Calibri"/>
      <family val="2"/>
      <scheme val="minor"/>
    </font>
    <font>
      <b/>
      <sz val="18"/>
      <color rgb="FF1F4E79"/>
      <name val="Calibri"/>
    </font>
    <font>
      <b/>
      <sz val="12"/>
      <color rgb="FF1F4E79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sz val="11"/>
      <color rgb="FF0000FF"/>
      <name val="Calibri"/>
    </font>
    <font>
      <b/>
      <sz val="14"/>
      <name val="Calibri"/>
    </font>
    <font>
      <b/>
      <sz val="11"/>
      <name val="Calibri"/>
    </font>
    <font>
      <b/>
      <sz val="11"/>
      <color rgb="FFC00000"/>
      <name val="Calibri"/>
    </font>
    <font>
      <b/>
      <sz val="12"/>
      <name val="Calibri"/>
    </font>
    <font>
      <b/>
      <sz val="11"/>
      <color rgb="FF008000"/>
      <name val="Calibri"/>
    </font>
    <font>
      <b/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FFFF00"/>
        <bgColor rgb="FFFFFF00"/>
      </patternFill>
    </fill>
    <fill>
      <patternFill patternType="solid">
        <fgColor rgb="FFC6EFCE"/>
        <bgColor rgb="FFC6EFCE"/>
      </patternFill>
    </fill>
    <fill>
      <patternFill patternType="solid">
        <fgColor rgb="FFC00000"/>
        <bgColor rgb="FFC0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7" fillId="0" borderId="1" xfId="0" applyFont="1" applyBorder="1"/>
    <xf numFmtId="0" fontId="0" fillId="0" borderId="1" xfId="0" applyBorder="1"/>
    <xf numFmtId="2" fontId="0" fillId="0" borderId="1" xfId="0" applyNumberFormat="1" applyBorder="1"/>
    <xf numFmtId="164" fontId="0" fillId="0" borderId="1" xfId="0" applyNumberFormat="1" applyBorder="1"/>
    <xf numFmtId="10" fontId="5" fillId="3" borderId="1" xfId="0" applyNumberFormat="1" applyFont="1" applyFill="1" applyBorder="1"/>
    <xf numFmtId="10" fontId="0" fillId="0" borderId="1" xfId="0" applyNumberFormat="1" applyBorder="1"/>
    <xf numFmtId="165" fontId="0" fillId="0" borderId="1" xfId="0" applyNumberFormat="1" applyBorder="1"/>
    <xf numFmtId="0" fontId="4" fillId="2" borderId="0" xfId="0" applyFont="1" applyFill="1"/>
    <xf numFmtId="2" fontId="5" fillId="3" borderId="1" xfId="0" applyNumberFormat="1" applyFont="1" applyFill="1" applyBorder="1"/>
    <xf numFmtId="0" fontId="0" fillId="4" borderId="1" xfId="0" applyFill="1" applyBorder="1"/>
    <xf numFmtId="166" fontId="6" fillId="4" borderId="1" xfId="0" applyNumberFormat="1" applyFont="1" applyFill="1" applyBorder="1"/>
    <xf numFmtId="1" fontId="0" fillId="0" borderId="1" xfId="0" applyNumberFormat="1" applyBorder="1"/>
    <xf numFmtId="166" fontId="0" fillId="0" borderId="1" xfId="0" applyNumberFormat="1" applyBorder="1"/>
    <xf numFmtId="0" fontId="7" fillId="0" borderId="0" xfId="0" applyFont="1"/>
    <xf numFmtId="10" fontId="8" fillId="0" borderId="0" xfId="0" applyNumberFormat="1" applyFont="1"/>
    <xf numFmtId="0" fontId="9" fillId="0" borderId="0" xfId="0" applyFont="1"/>
    <xf numFmtId="2" fontId="0" fillId="0" borderId="0" xfId="0" applyNumberFormat="1"/>
    <xf numFmtId="0" fontId="10" fillId="0" borderId="0" xfId="0" applyFont="1"/>
    <xf numFmtId="164" fontId="0" fillId="0" borderId="0" xfId="0" applyNumberFormat="1"/>
    <xf numFmtId="1" fontId="0" fillId="0" borderId="0" xfId="0" applyNumberFormat="1"/>
    <xf numFmtId="0" fontId="1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8"/>
  <sheetViews>
    <sheetView workbookViewId="0"/>
  </sheetViews>
  <sheetFormatPr defaultRowHeight="14.5" x14ac:dyDescent="0.35"/>
  <cols>
    <col min="1" max="1" width="60" customWidth="1"/>
  </cols>
  <sheetData>
    <row r="1" spans="1:1" ht="23.5" customHeight="1" x14ac:dyDescent="0.55000000000000004">
      <c r="A1" s="1" t="s">
        <v>0</v>
      </c>
    </row>
    <row r="4" spans="1:1" x14ac:dyDescent="0.35">
      <c r="A4" t="s">
        <v>1</v>
      </c>
    </row>
    <row r="6" spans="1:1" x14ac:dyDescent="0.35">
      <c r="A6" t="s">
        <v>2</v>
      </c>
    </row>
    <row r="7" spans="1:1" x14ac:dyDescent="0.35">
      <c r="A7" t="s">
        <v>3</v>
      </c>
    </row>
    <row r="9" spans="1:1" x14ac:dyDescent="0.35">
      <c r="A9" t="s">
        <v>4</v>
      </c>
    </row>
    <row r="11" spans="1:1" x14ac:dyDescent="0.35">
      <c r="A11" t="s">
        <v>5</v>
      </c>
    </row>
    <row r="12" spans="1:1" x14ac:dyDescent="0.35">
      <c r="A12" t="s">
        <v>6</v>
      </c>
    </row>
    <row r="13" spans="1:1" x14ac:dyDescent="0.35">
      <c r="A13" t="s">
        <v>7</v>
      </c>
    </row>
    <row r="14" spans="1:1" x14ac:dyDescent="0.35">
      <c r="A14" t="s">
        <v>8</v>
      </c>
    </row>
    <row r="15" spans="1:1" x14ac:dyDescent="0.35">
      <c r="A15" t="s">
        <v>9</v>
      </c>
    </row>
    <row r="17" spans="1:1" x14ac:dyDescent="0.35">
      <c r="A17" t="s">
        <v>10</v>
      </c>
    </row>
    <row r="18" spans="1:1" x14ac:dyDescent="0.35">
      <c r="A18" t="s">
        <v>11</v>
      </c>
    </row>
    <row r="19" spans="1:1" x14ac:dyDescent="0.35">
      <c r="A19" t="s">
        <v>12</v>
      </c>
    </row>
    <row r="20" spans="1:1" x14ac:dyDescent="0.35">
      <c r="A20" t="s">
        <v>13</v>
      </c>
    </row>
    <row r="21" spans="1:1" x14ac:dyDescent="0.35">
      <c r="A21" t="s">
        <v>14</v>
      </c>
    </row>
    <row r="22" spans="1:1" x14ac:dyDescent="0.35">
      <c r="A22" t="s">
        <v>15</v>
      </c>
    </row>
    <row r="23" spans="1:1" x14ac:dyDescent="0.35">
      <c r="A23" t="s">
        <v>16</v>
      </c>
    </row>
    <row r="25" spans="1:1" x14ac:dyDescent="0.35">
      <c r="A25" t="s">
        <v>17</v>
      </c>
    </row>
    <row r="27" spans="1:1" x14ac:dyDescent="0.35">
      <c r="A27" t="s">
        <v>18</v>
      </c>
    </row>
    <row r="28" spans="1:1" x14ac:dyDescent="0.35">
      <c r="A28" t="s">
        <v>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27"/>
  <sheetViews>
    <sheetView workbookViewId="0">
      <selection activeCell="L6" sqref="L6"/>
    </sheetView>
  </sheetViews>
  <sheetFormatPr defaultRowHeight="14.5" x14ac:dyDescent="0.35"/>
  <cols>
    <col min="1" max="2" width="8" customWidth="1"/>
    <col min="3" max="3" width="20" customWidth="1"/>
    <col min="4" max="4" width="15" customWidth="1"/>
    <col min="5" max="6" width="10" customWidth="1"/>
    <col min="7" max="7" width="8" customWidth="1"/>
    <col min="8" max="8" width="12" customWidth="1"/>
    <col min="9" max="10" width="10" customWidth="1"/>
    <col min="11" max="11" width="8" customWidth="1"/>
    <col min="12" max="12" width="10" customWidth="1"/>
    <col min="13" max="15" width="12" customWidth="1"/>
  </cols>
  <sheetData>
    <row r="1" spans="1:15" ht="15.5" customHeight="1" x14ac:dyDescent="0.35">
      <c r="A1" s="2" t="s">
        <v>20</v>
      </c>
    </row>
    <row r="2" spans="1:15" ht="29" customHeight="1" x14ac:dyDescent="0.35">
      <c r="A2" s="3" t="s">
        <v>21</v>
      </c>
      <c r="B2" s="3" t="s">
        <v>22</v>
      </c>
      <c r="C2" s="3" t="s">
        <v>23</v>
      </c>
      <c r="D2" s="3" t="s">
        <v>24</v>
      </c>
      <c r="E2" s="3" t="s">
        <v>25</v>
      </c>
      <c r="F2" s="3" t="s">
        <v>26</v>
      </c>
      <c r="G2" s="3" t="s">
        <v>27</v>
      </c>
      <c r="H2" s="3" t="s">
        <v>28</v>
      </c>
      <c r="I2" s="3" t="s">
        <v>29</v>
      </c>
      <c r="J2" s="3" t="s">
        <v>30</v>
      </c>
      <c r="K2" s="3" t="s">
        <v>31</v>
      </c>
      <c r="L2" s="3" t="s">
        <v>32</v>
      </c>
      <c r="M2" s="3" t="s">
        <v>33</v>
      </c>
      <c r="N2" s="3" t="s">
        <v>34</v>
      </c>
      <c r="O2" s="3" t="s">
        <v>35</v>
      </c>
    </row>
    <row r="3" spans="1:15" x14ac:dyDescent="0.35">
      <c r="A3">
        <v>1</v>
      </c>
      <c r="B3" t="s">
        <v>36</v>
      </c>
      <c r="C3" t="s">
        <v>37</v>
      </c>
      <c r="D3" t="s">
        <v>38</v>
      </c>
      <c r="E3">
        <v>9.32</v>
      </c>
      <c r="F3">
        <v>3</v>
      </c>
      <c r="G3">
        <v>4.0999999999999996</v>
      </c>
      <c r="H3">
        <v>0.20833333333333329</v>
      </c>
      <c r="I3">
        <v>97.7</v>
      </c>
      <c r="J3">
        <v>47</v>
      </c>
      <c r="K3">
        <v>0.54</v>
      </c>
      <c r="L3">
        <v>0.15</v>
      </c>
      <c r="M3">
        <v>3.2000000000000001E-2</v>
      </c>
      <c r="N3">
        <v>0</v>
      </c>
      <c r="O3">
        <v>0.04</v>
      </c>
    </row>
    <row r="4" spans="1:15" x14ac:dyDescent="0.35">
      <c r="A4">
        <v>2</v>
      </c>
      <c r="B4" t="s">
        <v>39</v>
      </c>
      <c r="C4" t="s">
        <v>40</v>
      </c>
      <c r="D4" t="s">
        <v>41</v>
      </c>
      <c r="E4">
        <v>82.54</v>
      </c>
      <c r="F4">
        <v>4</v>
      </c>
      <c r="G4">
        <v>3.2</v>
      </c>
      <c r="H4">
        <v>0.625</v>
      </c>
      <c r="I4">
        <v>55.1</v>
      </c>
      <c r="J4">
        <v>70</v>
      </c>
      <c r="K4">
        <v>0.22</v>
      </c>
      <c r="L4">
        <v>0.15</v>
      </c>
      <c r="M4">
        <v>0.187</v>
      </c>
      <c r="N4">
        <v>1E-4</v>
      </c>
      <c r="O4">
        <v>0.04</v>
      </c>
    </row>
    <row r="5" spans="1:15" x14ac:dyDescent="0.35">
      <c r="A5">
        <v>3</v>
      </c>
      <c r="B5" t="s">
        <v>42</v>
      </c>
      <c r="C5" t="s">
        <v>43</v>
      </c>
      <c r="D5" t="s">
        <v>38</v>
      </c>
      <c r="E5">
        <v>19.809999999999999</v>
      </c>
      <c r="F5">
        <v>2.5</v>
      </c>
      <c r="G5">
        <v>7</v>
      </c>
      <c r="H5">
        <v>0.3125</v>
      </c>
      <c r="I5">
        <v>52.3</v>
      </c>
      <c r="J5">
        <v>83</v>
      </c>
      <c r="K5">
        <v>1</v>
      </c>
      <c r="L5">
        <v>0.2</v>
      </c>
      <c r="M5">
        <v>0.161</v>
      </c>
      <c r="N5">
        <v>0</v>
      </c>
      <c r="O5">
        <v>0.04</v>
      </c>
    </row>
    <row r="6" spans="1:15" x14ac:dyDescent="0.35">
      <c r="A6">
        <v>4</v>
      </c>
      <c r="B6" t="s">
        <v>44</v>
      </c>
      <c r="C6" t="s">
        <v>45</v>
      </c>
      <c r="D6" t="s">
        <v>46</v>
      </c>
      <c r="E6">
        <v>86.09</v>
      </c>
      <c r="F6">
        <v>6.9</v>
      </c>
      <c r="G6">
        <v>3.8</v>
      </c>
      <c r="H6">
        <v>0.13698630136986301</v>
      </c>
      <c r="I6">
        <v>87</v>
      </c>
      <c r="J6">
        <v>135</v>
      </c>
      <c r="K6">
        <v>1.25</v>
      </c>
      <c r="L6">
        <v>0.25</v>
      </c>
      <c r="M6">
        <v>7.2999999999999995E-2</v>
      </c>
      <c r="N6">
        <v>1E-4</v>
      </c>
      <c r="O6">
        <v>0.04</v>
      </c>
    </row>
    <row r="7" spans="1:15" x14ac:dyDescent="0.35">
      <c r="A7">
        <v>5</v>
      </c>
      <c r="B7" t="s">
        <v>47</v>
      </c>
      <c r="C7" t="s">
        <v>48</v>
      </c>
      <c r="D7" t="s">
        <v>49</v>
      </c>
      <c r="E7">
        <v>38.93</v>
      </c>
      <c r="F7">
        <v>2.9</v>
      </c>
      <c r="G7">
        <v>22.2</v>
      </c>
      <c r="H7">
        <v>0.15625</v>
      </c>
      <c r="I7">
        <v>44.5</v>
      </c>
      <c r="J7">
        <v>162</v>
      </c>
      <c r="K7">
        <v>0.98</v>
      </c>
      <c r="L7">
        <v>0.19600000000000001</v>
      </c>
      <c r="M7">
        <v>0.16</v>
      </c>
      <c r="N7">
        <v>0</v>
      </c>
      <c r="O7">
        <v>0.04</v>
      </c>
    </row>
    <row r="8" spans="1:15" x14ac:dyDescent="0.35">
      <c r="A8">
        <v>6</v>
      </c>
      <c r="B8" t="s">
        <v>50</v>
      </c>
      <c r="C8" t="s">
        <v>51</v>
      </c>
      <c r="D8" t="s">
        <v>52</v>
      </c>
      <c r="E8">
        <v>77.45</v>
      </c>
      <c r="F8">
        <v>6.2</v>
      </c>
      <c r="G8">
        <v>9</v>
      </c>
      <c r="H8">
        <v>0.13513513513513509</v>
      </c>
      <c r="I8">
        <v>51.4</v>
      </c>
      <c r="J8">
        <v>183</v>
      </c>
      <c r="K8">
        <v>0.47</v>
      </c>
      <c r="L8">
        <v>0.15</v>
      </c>
      <c r="M8">
        <v>5.7000000000000002E-2</v>
      </c>
      <c r="N8">
        <v>1E-4</v>
      </c>
      <c r="O8">
        <v>0.04</v>
      </c>
    </row>
    <row r="9" spans="1:15" x14ac:dyDescent="0.35">
      <c r="A9">
        <v>7</v>
      </c>
      <c r="B9" t="s">
        <v>53</v>
      </c>
      <c r="C9" t="s">
        <v>54</v>
      </c>
      <c r="D9" t="s">
        <v>38</v>
      </c>
      <c r="E9">
        <v>192.26</v>
      </c>
      <c r="F9">
        <v>2.5</v>
      </c>
      <c r="G9">
        <v>12.2</v>
      </c>
      <c r="H9">
        <v>1.666666666666667</v>
      </c>
      <c r="I9">
        <v>32.700000000000003</v>
      </c>
      <c r="J9">
        <v>189</v>
      </c>
      <c r="K9">
        <v>1.19</v>
      </c>
      <c r="L9">
        <v>0.23899999999999999</v>
      </c>
      <c r="M9">
        <v>0.217</v>
      </c>
      <c r="N9">
        <v>0</v>
      </c>
      <c r="O9">
        <v>0.04</v>
      </c>
    </row>
    <row r="10" spans="1:15" x14ac:dyDescent="0.35">
      <c r="A10">
        <v>8</v>
      </c>
      <c r="B10" t="s">
        <v>55</v>
      </c>
      <c r="C10" t="s">
        <v>56</v>
      </c>
      <c r="D10" t="s">
        <v>38</v>
      </c>
      <c r="E10">
        <v>209.07</v>
      </c>
      <c r="F10">
        <v>55.1</v>
      </c>
      <c r="G10">
        <v>6.8</v>
      </c>
      <c r="H10">
        <v>0.1851851851851852</v>
      </c>
      <c r="I10">
        <v>34.5</v>
      </c>
      <c r="J10">
        <v>192</v>
      </c>
      <c r="K10">
        <v>0.25</v>
      </c>
      <c r="L10">
        <v>0.15</v>
      </c>
      <c r="M10">
        <v>0.129</v>
      </c>
      <c r="N10">
        <v>8.0000000000000004E-4</v>
      </c>
      <c r="O10">
        <v>0.04</v>
      </c>
    </row>
    <row r="11" spans="1:15" x14ac:dyDescent="0.35">
      <c r="A11">
        <v>9</v>
      </c>
      <c r="B11" t="s">
        <v>57</v>
      </c>
      <c r="C11" t="s">
        <v>58</v>
      </c>
      <c r="D11" t="s">
        <v>52</v>
      </c>
      <c r="E11">
        <v>113.62</v>
      </c>
      <c r="F11">
        <v>8.1</v>
      </c>
      <c r="G11">
        <v>11.7</v>
      </c>
      <c r="H11">
        <v>0.12195121951219511</v>
      </c>
      <c r="I11">
        <v>61.6</v>
      </c>
      <c r="J11">
        <v>206</v>
      </c>
      <c r="K11">
        <v>0.99</v>
      </c>
      <c r="L11">
        <v>0.19900000000000001</v>
      </c>
      <c r="M11">
        <v>0.27200000000000002</v>
      </c>
      <c r="N11">
        <v>1E-4</v>
      </c>
      <c r="O11">
        <v>0.04</v>
      </c>
    </row>
    <row r="12" spans="1:15" x14ac:dyDescent="0.35">
      <c r="A12">
        <v>10</v>
      </c>
      <c r="B12" t="s">
        <v>59</v>
      </c>
      <c r="C12" t="s">
        <v>60</v>
      </c>
      <c r="D12" t="s">
        <v>46</v>
      </c>
      <c r="E12">
        <v>62.43</v>
      </c>
      <c r="F12">
        <v>6.4</v>
      </c>
      <c r="G12">
        <v>19.899999999999999</v>
      </c>
      <c r="H12">
        <v>0.11235955056179769</v>
      </c>
      <c r="I12">
        <v>100</v>
      </c>
      <c r="J12">
        <v>207</v>
      </c>
      <c r="K12">
        <v>1.52</v>
      </c>
      <c r="L12">
        <v>0.30399999999999999</v>
      </c>
      <c r="M12">
        <v>5.2999999999999999E-2</v>
      </c>
      <c r="N12">
        <v>0</v>
      </c>
      <c r="O12">
        <v>0.04</v>
      </c>
    </row>
    <row r="13" spans="1:15" x14ac:dyDescent="0.35">
      <c r="A13">
        <v>11</v>
      </c>
      <c r="B13" t="s">
        <v>61</v>
      </c>
      <c r="C13" t="s">
        <v>62</v>
      </c>
      <c r="D13" t="s">
        <v>41</v>
      </c>
      <c r="E13">
        <v>39.81</v>
      </c>
      <c r="F13">
        <v>9.5</v>
      </c>
      <c r="G13">
        <v>7.7</v>
      </c>
      <c r="H13">
        <v>0.19230769230769229</v>
      </c>
      <c r="I13">
        <v>31.7</v>
      </c>
      <c r="J13">
        <v>227</v>
      </c>
      <c r="K13">
        <v>0.45</v>
      </c>
      <c r="L13">
        <v>0.15</v>
      </c>
      <c r="M13">
        <v>9.4E-2</v>
      </c>
      <c r="N13">
        <v>0</v>
      </c>
      <c r="O13">
        <v>0.04</v>
      </c>
    </row>
    <row r="14" spans="1:15" x14ac:dyDescent="0.35">
      <c r="A14">
        <v>12</v>
      </c>
      <c r="B14" t="s">
        <v>63</v>
      </c>
      <c r="C14" t="s">
        <v>64</v>
      </c>
      <c r="D14" t="s">
        <v>49</v>
      </c>
      <c r="E14">
        <v>350.05</v>
      </c>
      <c r="F14">
        <v>1659.7</v>
      </c>
      <c r="G14">
        <v>73.7</v>
      </c>
      <c r="H14">
        <v>0.2</v>
      </c>
      <c r="I14">
        <v>31</v>
      </c>
      <c r="J14">
        <v>228</v>
      </c>
      <c r="K14">
        <v>1.2</v>
      </c>
      <c r="L14">
        <v>0.24099999999999999</v>
      </c>
      <c r="M14">
        <v>0.30499999999999999</v>
      </c>
      <c r="N14">
        <v>2.4399999999999901E-2</v>
      </c>
      <c r="O14">
        <v>0.04</v>
      </c>
    </row>
    <row r="15" spans="1:15" x14ac:dyDescent="0.35">
      <c r="A15">
        <v>13</v>
      </c>
      <c r="B15" t="s">
        <v>65</v>
      </c>
      <c r="C15" t="s">
        <v>66</v>
      </c>
      <c r="D15" t="s">
        <v>46</v>
      </c>
      <c r="E15">
        <v>130.69999999999999</v>
      </c>
      <c r="F15">
        <v>6.2</v>
      </c>
      <c r="G15">
        <v>12.6</v>
      </c>
      <c r="H15">
        <v>0.1333333333333333</v>
      </c>
      <c r="I15">
        <v>40.9</v>
      </c>
      <c r="J15">
        <v>228</v>
      </c>
      <c r="K15">
        <v>1.17</v>
      </c>
      <c r="L15">
        <v>0.23400000000000001</v>
      </c>
      <c r="M15">
        <v>-0.128</v>
      </c>
      <c r="N15">
        <v>1E-4</v>
      </c>
      <c r="O15">
        <v>0.04</v>
      </c>
    </row>
    <row r="16" spans="1:15" x14ac:dyDescent="0.35">
      <c r="A16">
        <v>14</v>
      </c>
      <c r="B16" t="s">
        <v>67</v>
      </c>
      <c r="C16" t="s">
        <v>68</v>
      </c>
      <c r="D16" t="s">
        <v>46</v>
      </c>
      <c r="E16">
        <v>43.84</v>
      </c>
      <c r="F16">
        <v>5.6</v>
      </c>
      <c r="G16">
        <v>10</v>
      </c>
      <c r="H16">
        <v>0.12987012987012991</v>
      </c>
      <c r="I16">
        <v>41.1</v>
      </c>
      <c r="J16">
        <v>232</v>
      </c>
      <c r="K16">
        <v>0.31</v>
      </c>
      <c r="L16">
        <v>0.15</v>
      </c>
      <c r="M16">
        <v>0.255</v>
      </c>
      <c r="N16">
        <v>1E-4</v>
      </c>
      <c r="O16">
        <v>0.04</v>
      </c>
    </row>
    <row r="17" spans="1:15" x14ac:dyDescent="0.35">
      <c r="A17">
        <v>15</v>
      </c>
      <c r="B17" t="s">
        <v>69</v>
      </c>
      <c r="C17" t="s">
        <v>70</v>
      </c>
      <c r="D17" t="s">
        <v>38</v>
      </c>
      <c r="E17">
        <v>41.61</v>
      </c>
      <c r="F17">
        <v>2.9</v>
      </c>
      <c r="G17">
        <v>11.2</v>
      </c>
      <c r="H17">
        <v>0.1204819277108434</v>
      </c>
      <c r="I17">
        <v>49.6</v>
      </c>
      <c r="J17">
        <v>236</v>
      </c>
      <c r="K17">
        <v>1.77</v>
      </c>
      <c r="L17">
        <v>0.35299999999999998</v>
      </c>
      <c r="M17">
        <v>8.6999999999999994E-2</v>
      </c>
      <c r="N17">
        <v>0</v>
      </c>
      <c r="O17">
        <v>0.04</v>
      </c>
    </row>
    <row r="18" spans="1:15" x14ac:dyDescent="0.35">
      <c r="A18">
        <v>16</v>
      </c>
      <c r="B18" t="s">
        <v>71</v>
      </c>
      <c r="C18" t="s">
        <v>72</v>
      </c>
      <c r="D18" t="s">
        <v>73</v>
      </c>
      <c r="E18">
        <v>192.08</v>
      </c>
      <c r="F18">
        <v>42.2</v>
      </c>
      <c r="G18">
        <v>10.7</v>
      </c>
      <c r="H18">
        <v>0.119047619047619</v>
      </c>
      <c r="I18">
        <v>49.4</v>
      </c>
      <c r="J18">
        <v>238</v>
      </c>
      <c r="K18">
        <v>0.26</v>
      </c>
      <c r="L18">
        <v>0.15</v>
      </c>
      <c r="M18">
        <v>0.40899999999999997</v>
      </c>
      <c r="N18">
        <v>5.9999999999999995E-4</v>
      </c>
      <c r="O18">
        <v>0.04</v>
      </c>
    </row>
    <row r="19" spans="1:15" x14ac:dyDescent="0.35">
      <c r="A19">
        <v>17</v>
      </c>
      <c r="B19" t="s">
        <v>74</v>
      </c>
      <c r="C19" t="s">
        <v>75</v>
      </c>
      <c r="D19" t="s">
        <v>76</v>
      </c>
      <c r="E19">
        <v>208.23</v>
      </c>
      <c r="F19">
        <v>28.4</v>
      </c>
      <c r="G19">
        <v>5.8</v>
      </c>
      <c r="H19">
        <v>0.17241379310344829</v>
      </c>
      <c r="I19">
        <v>31.3</v>
      </c>
      <c r="J19">
        <v>241</v>
      </c>
      <c r="K19">
        <v>1.06</v>
      </c>
      <c r="L19">
        <v>0.21299999999999999</v>
      </c>
      <c r="M19">
        <v>0.47699999999999998</v>
      </c>
      <c r="N19">
        <v>2.9999999999999997E-4</v>
      </c>
      <c r="O19">
        <v>0.04</v>
      </c>
    </row>
    <row r="20" spans="1:15" x14ac:dyDescent="0.35">
      <c r="A20">
        <v>18</v>
      </c>
      <c r="B20" t="s">
        <v>77</v>
      </c>
      <c r="C20" t="s">
        <v>78</v>
      </c>
      <c r="D20" t="s">
        <v>76</v>
      </c>
      <c r="E20">
        <v>55.42</v>
      </c>
      <c r="F20">
        <v>9.3000000000000007</v>
      </c>
      <c r="G20">
        <v>8.5</v>
      </c>
      <c r="H20">
        <v>0.15873015873015869</v>
      </c>
      <c r="I20">
        <v>32.700000000000003</v>
      </c>
      <c r="J20">
        <v>243</v>
      </c>
      <c r="K20">
        <v>0.92</v>
      </c>
      <c r="L20">
        <v>0.184</v>
      </c>
      <c r="M20">
        <v>-5.5E-2</v>
      </c>
      <c r="N20">
        <v>1E-4</v>
      </c>
      <c r="O20">
        <v>0.04</v>
      </c>
    </row>
    <row r="21" spans="1:15" x14ac:dyDescent="0.35">
      <c r="A21">
        <v>19</v>
      </c>
      <c r="B21" t="s">
        <v>79</v>
      </c>
      <c r="C21" t="s">
        <v>80</v>
      </c>
      <c r="D21" t="s">
        <v>46</v>
      </c>
      <c r="E21">
        <v>20.51</v>
      </c>
      <c r="F21">
        <v>4.2</v>
      </c>
      <c r="G21">
        <v>6.3</v>
      </c>
      <c r="H21">
        <v>0.16949152542372881</v>
      </c>
      <c r="I21">
        <v>30.6</v>
      </c>
      <c r="J21">
        <v>254</v>
      </c>
      <c r="K21">
        <v>1.47</v>
      </c>
      <c r="L21">
        <v>0.29499999999999998</v>
      </c>
      <c r="M21">
        <v>0.187</v>
      </c>
      <c r="N21">
        <v>1E-4</v>
      </c>
      <c r="O21">
        <v>0.04</v>
      </c>
    </row>
    <row r="22" spans="1:15" x14ac:dyDescent="0.35">
      <c r="A22">
        <v>20</v>
      </c>
      <c r="B22" t="s">
        <v>81</v>
      </c>
      <c r="C22" t="s">
        <v>82</v>
      </c>
      <c r="D22" t="s">
        <v>41</v>
      </c>
      <c r="E22">
        <v>17.3</v>
      </c>
      <c r="F22">
        <v>9.6999999999999993</v>
      </c>
      <c r="G22">
        <v>10.199999999999999</v>
      </c>
      <c r="H22">
        <v>0.15384615384615391</v>
      </c>
      <c r="I22">
        <v>32</v>
      </c>
      <c r="J22">
        <v>263</v>
      </c>
      <c r="K22">
        <v>0.32</v>
      </c>
      <c r="L22">
        <v>0.15</v>
      </c>
      <c r="M22">
        <v>0.36199999999999999</v>
      </c>
      <c r="N22">
        <v>1E-4</v>
      </c>
      <c r="O22">
        <v>0.04</v>
      </c>
    </row>
    <row r="23" spans="1:15" x14ac:dyDescent="0.35">
      <c r="A23">
        <v>21</v>
      </c>
      <c r="B23" t="s">
        <v>83</v>
      </c>
      <c r="C23" t="s">
        <v>84</v>
      </c>
      <c r="D23" t="s">
        <v>49</v>
      </c>
      <c r="E23">
        <v>27.05</v>
      </c>
      <c r="F23">
        <v>6.3</v>
      </c>
      <c r="G23">
        <v>15.8</v>
      </c>
      <c r="H23">
        <v>0.1492537313432836</v>
      </c>
      <c r="I23">
        <v>32.5</v>
      </c>
      <c r="J23">
        <v>264</v>
      </c>
      <c r="K23">
        <v>1.94</v>
      </c>
      <c r="L23">
        <v>0.38700000000000001</v>
      </c>
      <c r="M23">
        <v>0.39</v>
      </c>
      <c r="N23">
        <v>1E-4</v>
      </c>
      <c r="O23">
        <v>0.04</v>
      </c>
    </row>
    <row r="24" spans="1:15" x14ac:dyDescent="0.35">
      <c r="A24">
        <v>22</v>
      </c>
      <c r="B24" t="s">
        <v>85</v>
      </c>
      <c r="C24" t="s">
        <v>86</v>
      </c>
      <c r="D24" t="s">
        <v>73</v>
      </c>
      <c r="E24">
        <v>24.36</v>
      </c>
      <c r="F24">
        <v>8.6999999999999993</v>
      </c>
      <c r="G24">
        <v>5.8</v>
      </c>
      <c r="H24">
        <v>0.43478260869565222</v>
      </c>
      <c r="I24">
        <v>27.4</v>
      </c>
      <c r="J24">
        <v>267</v>
      </c>
      <c r="K24">
        <v>0.76</v>
      </c>
      <c r="L24">
        <v>0.151</v>
      </c>
      <c r="M24">
        <v>7.5999999999999998E-2</v>
      </c>
      <c r="N24">
        <v>1E-4</v>
      </c>
      <c r="O24">
        <v>0.04</v>
      </c>
    </row>
    <row r="25" spans="1:15" x14ac:dyDescent="0.35">
      <c r="A25">
        <v>23</v>
      </c>
      <c r="B25" t="s">
        <v>87</v>
      </c>
      <c r="C25" t="s">
        <v>88</v>
      </c>
      <c r="D25" t="s">
        <v>38</v>
      </c>
      <c r="E25">
        <v>28.28</v>
      </c>
      <c r="F25">
        <v>2.8</v>
      </c>
      <c r="G25">
        <v>6.7</v>
      </c>
      <c r="H25">
        <v>0.41666666666666669</v>
      </c>
      <c r="I25">
        <v>27.4</v>
      </c>
      <c r="J25">
        <v>269</v>
      </c>
      <c r="K25">
        <v>0.69</v>
      </c>
      <c r="L25">
        <v>0.15</v>
      </c>
      <c r="M25">
        <v>3.3000000000000002E-2</v>
      </c>
      <c r="N25">
        <v>0</v>
      </c>
      <c r="O25">
        <v>0.04</v>
      </c>
    </row>
    <row r="26" spans="1:15" x14ac:dyDescent="0.35">
      <c r="A26">
        <v>24</v>
      </c>
      <c r="B26" t="s">
        <v>89</v>
      </c>
      <c r="C26" t="s">
        <v>90</v>
      </c>
      <c r="D26" t="s">
        <v>41</v>
      </c>
      <c r="E26">
        <v>101.43</v>
      </c>
      <c r="F26">
        <v>33.700000000000003</v>
      </c>
      <c r="G26">
        <v>17.2</v>
      </c>
      <c r="H26">
        <v>9.7087378640776698E-2</v>
      </c>
      <c r="I26">
        <v>100</v>
      </c>
      <c r="J26">
        <v>270</v>
      </c>
      <c r="K26">
        <v>0.26</v>
      </c>
      <c r="L26">
        <v>0.15</v>
      </c>
      <c r="M26">
        <v>0.25600000000000001</v>
      </c>
      <c r="N26">
        <v>5.0000000000000001E-4</v>
      </c>
      <c r="O26">
        <v>0.04</v>
      </c>
    </row>
    <row r="27" spans="1:15" x14ac:dyDescent="0.35">
      <c r="A27">
        <v>25</v>
      </c>
      <c r="B27" t="s">
        <v>91</v>
      </c>
      <c r="C27" t="s">
        <v>92</v>
      </c>
      <c r="D27" t="s">
        <v>73</v>
      </c>
      <c r="E27">
        <v>78.540000000000006</v>
      </c>
      <c r="F27">
        <v>5.6</v>
      </c>
      <c r="G27">
        <v>14.2</v>
      </c>
      <c r="H27">
        <v>0.15873015873015869</v>
      </c>
      <c r="I27">
        <v>30.2</v>
      </c>
      <c r="J27">
        <v>275</v>
      </c>
      <c r="K27">
        <v>0.94</v>
      </c>
      <c r="L27">
        <v>0.188</v>
      </c>
      <c r="M27">
        <v>0.13900000000000001</v>
      </c>
      <c r="N27">
        <v>1E-4</v>
      </c>
      <c r="O27">
        <v>0.04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02"/>
  <sheetViews>
    <sheetView workbookViewId="0">
      <selection activeCell="B5" sqref="B5"/>
    </sheetView>
  </sheetViews>
  <sheetFormatPr defaultRowHeight="14.5" x14ac:dyDescent="0.35"/>
  <cols>
    <col min="1" max="1" width="18" customWidth="1"/>
    <col min="2" max="2" width="10" customWidth="1"/>
    <col min="3" max="3" width="3" customWidth="1"/>
    <col min="4" max="4" width="8" customWidth="1"/>
    <col min="5" max="5" width="21.7265625" customWidth="1"/>
    <col min="6" max="6" width="6" customWidth="1"/>
    <col min="7" max="7" width="8" customWidth="1"/>
    <col min="8" max="8" width="6" customWidth="1"/>
    <col min="9" max="9" width="10" customWidth="1"/>
    <col min="10" max="10" width="9" customWidth="1"/>
    <col min="11" max="11" width="10" customWidth="1"/>
  </cols>
  <sheetData>
    <row r="1" spans="1:11" ht="29" customHeight="1" x14ac:dyDescent="0.55000000000000004">
      <c r="A1" s="1" t="s">
        <v>93</v>
      </c>
      <c r="D1" s="3" t="s">
        <v>22</v>
      </c>
      <c r="E1" s="3" t="s">
        <v>24</v>
      </c>
      <c r="F1" s="3" t="s">
        <v>31</v>
      </c>
      <c r="G1" s="3" t="s">
        <v>94</v>
      </c>
      <c r="H1" s="3" t="s">
        <v>95</v>
      </c>
      <c r="I1" s="4" t="s">
        <v>96</v>
      </c>
      <c r="J1" s="3" t="s">
        <v>97</v>
      </c>
      <c r="K1" s="3" t="s">
        <v>98</v>
      </c>
    </row>
    <row r="2" spans="1:11" x14ac:dyDescent="0.35">
      <c r="D2" s="5" t="str">
        <f>IFERROR('Stock Data'!B3,"")</f>
        <v>WU</v>
      </c>
      <c r="E2" s="6" t="str">
        <f>IFERROR('Stock Data'!D3,"")</f>
        <v>Financial Services</v>
      </c>
      <c r="F2" s="7">
        <f>IFERROR('Stock Data'!K3,1)</f>
        <v>0.54</v>
      </c>
      <c r="G2" s="8">
        <f>IFERROR('Stock Data'!M3,0)</f>
        <v>3.2000000000000001E-2</v>
      </c>
      <c r="H2" s="8">
        <f>IFERROR('Stock Data'!L3,0.25)</f>
        <v>0.15</v>
      </c>
      <c r="I2" s="9">
        <v>1.0000006328459861E-3</v>
      </c>
      <c r="J2" s="10">
        <f>IFERROR('Stock Data'!N3,0.01)</f>
        <v>0</v>
      </c>
      <c r="K2" s="11">
        <f t="shared" ref="K2:K33" si="0">I2-J2</f>
        <v>1.0000006328459861E-3</v>
      </c>
    </row>
    <row r="3" spans="1:11" x14ac:dyDescent="0.35">
      <c r="A3" s="12" t="s">
        <v>99</v>
      </c>
      <c r="D3" s="5" t="str">
        <f>IFERROR('Stock Data'!B4,"")</f>
        <v>CALM</v>
      </c>
      <c r="E3" s="6" t="str">
        <f>IFERROR('Stock Data'!D4,"")</f>
        <v>Consumer Defensive</v>
      </c>
      <c r="F3" s="7">
        <f>IFERROR('Stock Data'!K4,1)</f>
        <v>0.22</v>
      </c>
      <c r="G3" s="8">
        <f>IFERROR('Stock Data'!M4,0)</f>
        <v>0.187</v>
      </c>
      <c r="H3" s="8">
        <f>IFERROR('Stock Data'!L4,0.25)</f>
        <v>0.15</v>
      </c>
      <c r="I3" s="9">
        <v>4.199774883549047E-2</v>
      </c>
      <c r="J3" s="10">
        <f>IFERROR('Stock Data'!N4,0.01)</f>
        <v>1E-4</v>
      </c>
      <c r="K3" s="11">
        <f t="shared" si="0"/>
        <v>4.1897748835490467E-2</v>
      </c>
    </row>
    <row r="4" spans="1:11" x14ac:dyDescent="0.35">
      <c r="A4" t="s">
        <v>100</v>
      </c>
      <c r="B4" s="9">
        <v>4.1000000000000002E-2</v>
      </c>
      <c r="D4" s="5" t="str">
        <f>IFERROR('Stock Data'!B5,"")</f>
        <v>SLDE</v>
      </c>
      <c r="E4" s="6" t="str">
        <f>IFERROR('Stock Data'!D5,"")</f>
        <v>Financial Services</v>
      </c>
      <c r="F4" s="7">
        <f>IFERROR('Stock Data'!K5,1)</f>
        <v>1</v>
      </c>
      <c r="G4" s="8">
        <f>IFERROR('Stock Data'!M5,0)</f>
        <v>0.161</v>
      </c>
      <c r="H4" s="8">
        <f>IFERROR('Stock Data'!L5,0.25)</f>
        <v>0.2</v>
      </c>
      <c r="I4" s="9">
        <v>4.1358484638097E-2</v>
      </c>
      <c r="J4" s="10">
        <f>IFERROR('Stock Data'!N5,0.01)</f>
        <v>0</v>
      </c>
      <c r="K4" s="11">
        <f t="shared" si="0"/>
        <v>4.1358484638097E-2</v>
      </c>
    </row>
    <row r="5" spans="1:11" x14ac:dyDescent="0.35">
      <c r="A5" t="s">
        <v>101</v>
      </c>
      <c r="B5" s="13">
        <f>AVERAGE('Correlation Matrix'!B2:Z26)</f>
        <v>0.14441714428249211</v>
      </c>
      <c r="D5" s="5" t="str">
        <f>IFERROR('Stock Data'!B6,"")</f>
        <v>BYD</v>
      </c>
      <c r="E5" s="6" t="str">
        <f>IFERROR('Stock Data'!D6,"")</f>
        <v>Consumer Cyclical</v>
      </c>
      <c r="F5" s="7">
        <f>IFERROR('Stock Data'!K6,1)</f>
        <v>1.25</v>
      </c>
      <c r="G5" s="8">
        <f>IFERROR('Stock Data'!M6,0)</f>
        <v>7.2999999999999995E-2</v>
      </c>
      <c r="H5" s="8">
        <f>IFERROR('Stock Data'!L6,0.25)</f>
        <v>0.25</v>
      </c>
      <c r="I5" s="9">
        <v>4.0228437341414749E-2</v>
      </c>
      <c r="J5" s="10">
        <f>IFERROR('Stock Data'!N6,0.01)</f>
        <v>1E-4</v>
      </c>
      <c r="K5" s="11">
        <f t="shared" si="0"/>
        <v>4.0128437341414747E-2</v>
      </c>
    </row>
    <row r="6" spans="1:11" x14ac:dyDescent="0.35">
      <c r="A6" t="s">
        <v>102</v>
      </c>
      <c r="B6" s="9">
        <f>MAX(I2:I101)</f>
        <v>4.6502267861612052E-2</v>
      </c>
      <c r="D6" s="5" t="str">
        <f>IFERROR('Stock Data'!B7,"")</f>
        <v>NATL</v>
      </c>
      <c r="E6" s="6" t="str">
        <f>IFERROR('Stock Data'!D7,"")</f>
        <v>Technology</v>
      </c>
      <c r="F6" s="7">
        <f>IFERROR('Stock Data'!K7,1)</f>
        <v>0.98</v>
      </c>
      <c r="G6" s="8">
        <f>IFERROR('Stock Data'!M7,0)</f>
        <v>0.16</v>
      </c>
      <c r="H6" s="8">
        <f>IFERROR('Stock Data'!L7,0.25)</f>
        <v>0.19600000000000001</v>
      </c>
      <c r="I6" s="9">
        <v>4.0361332939632011E-2</v>
      </c>
      <c r="J6" s="10">
        <f>IFERROR('Stock Data'!N7,0.01)</f>
        <v>0</v>
      </c>
      <c r="K6" s="11">
        <f t="shared" si="0"/>
        <v>4.0361332939632011E-2</v>
      </c>
    </row>
    <row r="7" spans="1:11" x14ac:dyDescent="0.35">
      <c r="D7" s="5" t="str">
        <f>IFERROR('Stock Data'!B8,"")</f>
        <v>PTCT</v>
      </c>
      <c r="E7" s="6" t="str">
        <f>IFERROR('Stock Data'!D8,"")</f>
        <v>Healthcare</v>
      </c>
      <c r="F7" s="7">
        <f>IFERROR('Stock Data'!K8,1)</f>
        <v>0.47</v>
      </c>
      <c r="G7" s="8">
        <f>IFERROR('Stock Data'!M8,0)</f>
        <v>5.7000000000000002E-2</v>
      </c>
      <c r="H7" s="8">
        <f>IFERROR('Stock Data'!L8,0.25)</f>
        <v>0.15</v>
      </c>
      <c r="I7" s="9">
        <v>3.9861417525737311E-2</v>
      </c>
      <c r="J7" s="10">
        <f>IFERROR('Stock Data'!N8,0.01)</f>
        <v>1E-4</v>
      </c>
      <c r="K7" s="11">
        <f t="shared" si="0"/>
        <v>3.9761417525737308E-2</v>
      </c>
    </row>
    <row r="8" spans="1:11" x14ac:dyDescent="0.35">
      <c r="A8" s="12" t="s">
        <v>103</v>
      </c>
      <c r="D8" s="5" t="str">
        <f>IFERROR('Stock Data'!B9,"")</f>
        <v>HCI</v>
      </c>
      <c r="E8" s="6" t="str">
        <f>IFERROR('Stock Data'!D9,"")</f>
        <v>Financial Services</v>
      </c>
      <c r="F8" s="7">
        <f>IFERROR('Stock Data'!K9,1)</f>
        <v>1.19</v>
      </c>
      <c r="G8" s="8">
        <f>IFERROR('Stock Data'!M9,0)</f>
        <v>0.217</v>
      </c>
      <c r="H8" s="8">
        <f>IFERROR('Stock Data'!L9,0.25)</f>
        <v>0.23899999999999999</v>
      </c>
      <c r="I8" s="9">
        <v>4.2474331727006681E-2</v>
      </c>
      <c r="J8" s="10">
        <f>IFERROR('Stock Data'!N9,0.01)</f>
        <v>0</v>
      </c>
      <c r="K8" s="11">
        <f t="shared" si="0"/>
        <v>4.2474331727006681E-2</v>
      </c>
    </row>
    <row r="9" spans="1:11" x14ac:dyDescent="0.35">
      <c r="A9" s="6" t="s">
        <v>33</v>
      </c>
      <c r="B9" s="10">
        <f>SUMPRODUCT(I2:I101,G2:G101)</f>
        <v>0.18332269618410946</v>
      </c>
      <c r="D9" s="5" t="str">
        <f>IFERROR('Stock Data'!B10,"")</f>
        <v>ALL</v>
      </c>
      <c r="E9" s="6" t="str">
        <f>IFERROR('Stock Data'!D10,"")</f>
        <v>Financial Services</v>
      </c>
      <c r="F9" s="7">
        <f>IFERROR('Stock Data'!K10,1)</f>
        <v>0.25</v>
      </c>
      <c r="G9" s="8">
        <f>IFERROR('Stock Data'!M10,0)</f>
        <v>0.129</v>
      </c>
      <c r="H9" s="8">
        <f>IFERROR('Stock Data'!L10,0.25)</f>
        <v>0.15</v>
      </c>
      <c r="I9" s="9">
        <v>4.1767237520012199E-2</v>
      </c>
      <c r="J9" s="10">
        <f>IFERROR('Stock Data'!N10,0.01)</f>
        <v>8.0000000000000004E-4</v>
      </c>
      <c r="K9" s="11">
        <f t="shared" si="0"/>
        <v>4.0967237520012197E-2</v>
      </c>
    </row>
    <row r="10" spans="1:11" x14ac:dyDescent="0.35">
      <c r="A10" s="6" t="s">
        <v>104</v>
      </c>
      <c r="B10" s="10">
        <f>SQRT(SUMPRODUCT(I2:I26,MMULT('Covariance Matrix'!B2:Z26,I2:I26)))</f>
        <v>0.13453002407856707</v>
      </c>
      <c r="D10" s="5" t="str">
        <f>IFERROR('Stock Data'!B11,"")</f>
        <v>DVA</v>
      </c>
      <c r="E10" s="6" t="str">
        <f>IFERROR('Stock Data'!D11,"")</f>
        <v>Healthcare</v>
      </c>
      <c r="F10" s="7">
        <f>IFERROR('Stock Data'!K11,1)</f>
        <v>0.99</v>
      </c>
      <c r="G10" s="8">
        <f>IFERROR('Stock Data'!M11,0)</f>
        <v>0.27200000000000002</v>
      </c>
      <c r="H10" s="8">
        <f>IFERROR('Stock Data'!L11,0.25)</f>
        <v>0.19900000000000001</v>
      </c>
      <c r="I10" s="9">
        <v>4.3094791416680753E-2</v>
      </c>
      <c r="J10" s="10">
        <f>IFERROR('Stock Data'!N11,0.01)</f>
        <v>1E-4</v>
      </c>
      <c r="K10" s="11">
        <f t="shared" si="0"/>
        <v>4.299479141668075E-2</v>
      </c>
    </row>
    <row r="11" spans="1:11" x14ac:dyDescent="0.35">
      <c r="A11" s="6" t="s">
        <v>105</v>
      </c>
      <c r="B11" s="10">
        <f>B9-$B$4</f>
        <v>0.14232269618410945</v>
      </c>
      <c r="D11" s="5" t="str">
        <f>IFERROR('Stock Data'!B12,"")</f>
        <v>RRR</v>
      </c>
      <c r="E11" s="6" t="str">
        <f>IFERROR('Stock Data'!D12,"")</f>
        <v>Consumer Cyclical</v>
      </c>
      <c r="F11" s="7">
        <f>IFERROR('Stock Data'!K12,1)</f>
        <v>1.52</v>
      </c>
      <c r="G11" s="8">
        <f>IFERROR('Stock Data'!M12,0)</f>
        <v>5.2999999999999999E-2</v>
      </c>
      <c r="H11" s="8">
        <f>IFERROR('Stock Data'!L12,0.25)</f>
        <v>0.30399999999999999</v>
      </c>
      <c r="I11" s="9">
        <v>3.9382697445429653E-2</v>
      </c>
      <c r="J11" s="10">
        <f>IFERROR('Stock Data'!N12,0.01)</f>
        <v>0</v>
      </c>
      <c r="K11" s="11">
        <f t="shared" si="0"/>
        <v>3.9382697445429653E-2</v>
      </c>
    </row>
    <row r="12" spans="1:11" ht="18.5" customHeight="1" x14ac:dyDescent="0.45">
      <c r="A12" s="14" t="s">
        <v>106</v>
      </c>
      <c r="B12" s="15">
        <f>IFERROR(B11/B10,0)</f>
        <v>1.0579251520908921</v>
      </c>
      <c r="D12" s="5" t="str">
        <f>IFERROR('Stock Data'!B13,"")</f>
        <v>PPC</v>
      </c>
      <c r="E12" s="6" t="str">
        <f>IFERROR('Stock Data'!D13,"")</f>
        <v>Consumer Defensive</v>
      </c>
      <c r="F12" s="7">
        <f>IFERROR('Stock Data'!K13,1)</f>
        <v>0.45</v>
      </c>
      <c r="G12" s="8">
        <f>IFERROR('Stock Data'!M13,0)</f>
        <v>9.4E-2</v>
      </c>
      <c r="H12" s="8">
        <f>IFERROR('Stock Data'!L13,0.25)</f>
        <v>0.15</v>
      </c>
      <c r="I12" s="9">
        <v>4.1396388873870128E-2</v>
      </c>
      <c r="J12" s="10">
        <f>IFERROR('Stock Data'!N13,0.01)</f>
        <v>0</v>
      </c>
      <c r="K12" s="11">
        <f t="shared" si="0"/>
        <v>4.1396388873870128E-2</v>
      </c>
    </row>
    <row r="13" spans="1:11" x14ac:dyDescent="0.35">
      <c r="A13" s="6" t="s">
        <v>107</v>
      </c>
      <c r="B13" s="7">
        <f>SUMPRODUCT(I2:I101,F2:F101)</f>
        <v>0.88318018827020084</v>
      </c>
      <c r="D13" s="5" t="str">
        <f>IFERROR('Stock Data'!B14,"")</f>
        <v>AVGO</v>
      </c>
      <c r="E13" s="6" t="str">
        <f>IFERROR('Stock Data'!D14,"")</f>
        <v>Technology</v>
      </c>
      <c r="F13" s="7">
        <f>IFERROR('Stock Data'!K14,1)</f>
        <v>1.2</v>
      </c>
      <c r="G13" s="8">
        <f>IFERROR('Stock Data'!M14,0)</f>
        <v>0.30499999999999999</v>
      </c>
      <c r="H13" s="8">
        <f>IFERROR('Stock Data'!L14,0.25)</f>
        <v>0.24099999999999999</v>
      </c>
      <c r="I13" s="9">
        <v>4.4725378269237455E-2</v>
      </c>
      <c r="J13" s="10">
        <f>IFERROR('Stock Data'!N14,0.01)</f>
        <v>2.4399999999999901E-2</v>
      </c>
      <c r="K13" s="11">
        <f t="shared" si="0"/>
        <v>2.0325378269237554E-2</v>
      </c>
    </row>
    <row r="14" spans="1:11" x14ac:dyDescent="0.35">
      <c r="A14" s="6" t="s">
        <v>108</v>
      </c>
      <c r="B14" s="16">
        <f>COUNTIF(I2:I101,"&gt;0.001")</f>
        <v>25</v>
      </c>
      <c r="D14" s="5" t="str">
        <f>IFERROR('Stock Data'!B15,"")</f>
        <v>ANF</v>
      </c>
      <c r="E14" s="6" t="str">
        <f>IFERROR('Stock Data'!D15,"")</f>
        <v>Consumer Cyclical</v>
      </c>
      <c r="F14" s="7">
        <f>IFERROR('Stock Data'!K15,1)</f>
        <v>1.17</v>
      </c>
      <c r="G14" s="8">
        <f>IFERROR('Stock Data'!M15,0)</f>
        <v>-0.128</v>
      </c>
      <c r="H14" s="8">
        <f>IFERROR('Stock Data'!L15,0.25)</f>
        <v>0.23400000000000001</v>
      </c>
      <c r="I14" s="9">
        <v>3.4087635922637166E-2</v>
      </c>
      <c r="J14" s="10">
        <f>IFERROR('Stock Data'!N15,0.01)</f>
        <v>1E-4</v>
      </c>
      <c r="K14" s="11">
        <f t="shared" si="0"/>
        <v>3.3987635922637163E-2</v>
      </c>
    </row>
    <row r="15" spans="1:11" x14ac:dyDescent="0.35">
      <c r="A15" s="6" t="s">
        <v>109</v>
      </c>
      <c r="B15" s="10">
        <f>SUM(I2:I101)</f>
        <v>0.99999999999999445</v>
      </c>
      <c r="D15" s="5" t="str">
        <f>IFERROR('Stock Data'!B16,"")</f>
        <v>HRB</v>
      </c>
      <c r="E15" s="6" t="str">
        <f>IFERROR('Stock Data'!D16,"")</f>
        <v>Consumer Cyclical</v>
      </c>
      <c r="F15" s="7">
        <f>IFERROR('Stock Data'!K16,1)</f>
        <v>0.31</v>
      </c>
      <c r="G15" s="8">
        <f>IFERROR('Stock Data'!M16,0)</f>
        <v>0.255</v>
      </c>
      <c r="H15" s="8">
        <f>IFERROR('Stock Data'!L16,0.25)</f>
        <v>0.15</v>
      </c>
      <c r="I15" s="9">
        <v>4.3853199886146527E-2</v>
      </c>
      <c r="J15" s="10">
        <f>IFERROR('Stock Data'!N16,0.01)</f>
        <v>1E-4</v>
      </c>
      <c r="K15" s="11">
        <f t="shared" si="0"/>
        <v>4.3753199886146524E-2</v>
      </c>
    </row>
    <row r="16" spans="1:11" x14ac:dyDescent="0.35">
      <c r="A16" s="6" t="s">
        <v>110</v>
      </c>
      <c r="B16" s="10">
        <v>0.111</v>
      </c>
      <c r="D16" s="5" t="str">
        <f>IFERROR('Stock Data'!B17,"")</f>
        <v>APAM</v>
      </c>
      <c r="E16" s="6" t="str">
        <f>IFERROR('Stock Data'!D17,"")</f>
        <v>Financial Services</v>
      </c>
      <c r="F16" s="7">
        <f>IFERROR('Stock Data'!K17,1)</f>
        <v>1.77</v>
      </c>
      <c r="G16" s="8">
        <f>IFERROR('Stock Data'!M17,0)</f>
        <v>8.6999999999999994E-2</v>
      </c>
      <c r="H16" s="8">
        <f>IFERROR('Stock Data'!L17,0.25)</f>
        <v>0.35299999999999998</v>
      </c>
      <c r="I16" s="9">
        <v>4.0401616983472548E-2</v>
      </c>
      <c r="J16" s="10">
        <f>IFERROR('Stock Data'!N17,0.01)</f>
        <v>0</v>
      </c>
      <c r="K16" s="11">
        <f t="shared" si="0"/>
        <v>4.0401616983472548E-2</v>
      </c>
    </row>
    <row r="17" spans="1:11" x14ac:dyDescent="0.35">
      <c r="A17" s="6" t="s">
        <v>111</v>
      </c>
      <c r="B17" s="10">
        <f>SQRT(SUMPRODUCT(K2:K26,MMULT('Covariance Matrix'!B2:Z26,K2:K26)))</f>
        <v>0.1332295344792849</v>
      </c>
      <c r="D17" s="5" t="str">
        <f>IFERROR('Stock Data'!B18,"")</f>
        <v>LNG</v>
      </c>
      <c r="E17" s="6" t="str">
        <f>IFERROR('Stock Data'!D18,"")</f>
        <v>Energy</v>
      </c>
      <c r="F17" s="7">
        <f>IFERROR('Stock Data'!K18,1)</f>
        <v>0.26</v>
      </c>
      <c r="G17" s="8">
        <f>IFERROR('Stock Data'!M18,0)</f>
        <v>0.40899999999999997</v>
      </c>
      <c r="H17" s="8">
        <f>IFERROR('Stock Data'!L18,0.25)</f>
        <v>0.15</v>
      </c>
      <c r="I17" s="9">
        <v>4.6502267861612052E-2</v>
      </c>
      <c r="J17" s="10">
        <f>IFERROR('Stock Data'!N18,0.01)</f>
        <v>5.9999999999999995E-4</v>
      </c>
      <c r="K17" s="11">
        <f t="shared" si="0"/>
        <v>4.5902267861612049E-2</v>
      </c>
    </row>
    <row r="18" spans="1:11" x14ac:dyDescent="0.35">
      <c r="A18" s="6" t="s">
        <v>112</v>
      </c>
      <c r="B18" s="17">
        <f>IFERROR((B9-B16)/B17,0)</f>
        <v>0.54284281985053773</v>
      </c>
      <c r="D18" s="5" t="str">
        <f>IFERROR('Stock Data'!B19,"")</f>
        <v>CHTR</v>
      </c>
      <c r="E18" s="6" t="str">
        <f>IFERROR('Stock Data'!D19,"")</f>
        <v>Communication Services</v>
      </c>
      <c r="F18" s="7">
        <f>IFERROR('Stock Data'!K19,1)</f>
        <v>1.06</v>
      </c>
      <c r="G18" s="8">
        <f>IFERROR('Stock Data'!M19,0)</f>
        <v>0.47699999999999998</v>
      </c>
      <c r="H18" s="8">
        <f>IFERROR('Stock Data'!L19,0.25)</f>
        <v>0.21299999999999999</v>
      </c>
      <c r="I18" s="9">
        <v>4.5650852873620529E-2</v>
      </c>
      <c r="J18" s="10">
        <f>IFERROR('Stock Data'!N19,0.01)</f>
        <v>2.9999999999999997E-4</v>
      </c>
      <c r="K18" s="11">
        <f t="shared" si="0"/>
        <v>4.5350852873620527E-2</v>
      </c>
    </row>
    <row r="19" spans="1:11" x14ac:dyDescent="0.35">
      <c r="D19" s="5" t="str">
        <f>IFERROR('Stock Data'!B20,"")</f>
        <v>TIGO</v>
      </c>
      <c r="E19" s="6" t="str">
        <f>IFERROR('Stock Data'!D20,"")</f>
        <v>Communication Services</v>
      </c>
      <c r="F19" s="7">
        <f>IFERROR('Stock Data'!K20,1)</f>
        <v>0.92</v>
      </c>
      <c r="G19" s="8">
        <f>IFERROR('Stock Data'!M20,0)</f>
        <v>-5.5E-2</v>
      </c>
      <c r="H19" s="8">
        <f>IFERROR('Stock Data'!L20,0.25)</f>
        <v>0.184</v>
      </c>
      <c r="I19" s="9">
        <v>3.9397477194616462E-2</v>
      </c>
      <c r="J19" s="10">
        <f>IFERROR('Stock Data'!N20,0.01)</f>
        <v>1E-4</v>
      </c>
      <c r="K19" s="11">
        <f t="shared" si="0"/>
        <v>3.9297477194616459E-2</v>
      </c>
    </row>
    <row r="20" spans="1:11" x14ac:dyDescent="0.35">
      <c r="D20" s="5" t="str">
        <f>IFERROR('Stock Data'!B21,"")</f>
        <v>BBWI</v>
      </c>
      <c r="E20" s="6" t="str">
        <f>IFERROR('Stock Data'!D21,"")</f>
        <v>Consumer Cyclical</v>
      </c>
      <c r="F20" s="7">
        <f>IFERROR('Stock Data'!K21,1)</f>
        <v>1.47</v>
      </c>
      <c r="G20" s="8">
        <f>IFERROR('Stock Data'!M21,0)</f>
        <v>0.187</v>
      </c>
      <c r="H20" s="8">
        <f>IFERROR('Stock Data'!L21,0.25)</f>
        <v>0.29499999999999998</v>
      </c>
      <c r="I20" s="9">
        <v>3.9717103648682486E-2</v>
      </c>
      <c r="J20" s="10">
        <f>IFERROR('Stock Data'!N21,0.01)</f>
        <v>1E-4</v>
      </c>
      <c r="K20" s="11">
        <f t="shared" si="0"/>
        <v>3.9617103648682483E-2</v>
      </c>
    </row>
    <row r="21" spans="1:11" x14ac:dyDescent="0.35">
      <c r="D21" s="5" t="str">
        <f>IFERROR('Stock Data'!B22,"")</f>
        <v>ACI</v>
      </c>
      <c r="E21" s="6" t="str">
        <f>IFERROR('Stock Data'!D22,"")</f>
        <v>Consumer Defensive</v>
      </c>
      <c r="F21" s="7">
        <f>IFERROR('Stock Data'!K22,1)</f>
        <v>0.32</v>
      </c>
      <c r="G21" s="8">
        <f>IFERROR('Stock Data'!M22,0)</f>
        <v>0.36199999999999999</v>
      </c>
      <c r="H21" s="8">
        <f>IFERROR('Stock Data'!L22,0.25)</f>
        <v>0.15</v>
      </c>
      <c r="I21" s="9">
        <v>4.4926426689418854E-2</v>
      </c>
      <c r="J21" s="10">
        <f>IFERROR('Stock Data'!N22,0.01)</f>
        <v>1E-4</v>
      </c>
      <c r="K21" s="11">
        <f t="shared" si="0"/>
        <v>4.4826426689418851E-2</v>
      </c>
    </row>
    <row r="22" spans="1:11" x14ac:dyDescent="0.35">
      <c r="D22" s="5" t="str">
        <f>IFERROR('Stock Data'!B23,"")</f>
        <v>KD</v>
      </c>
      <c r="E22" s="6" t="str">
        <f>IFERROR('Stock Data'!D23,"")</f>
        <v>Technology</v>
      </c>
      <c r="F22" s="7">
        <f>IFERROR('Stock Data'!K23,1)</f>
        <v>1.94</v>
      </c>
      <c r="G22" s="8">
        <f>IFERROR('Stock Data'!M23,0)</f>
        <v>0.39</v>
      </c>
      <c r="H22" s="8">
        <f>IFERROR('Stock Data'!L23,0.25)</f>
        <v>0.38700000000000001</v>
      </c>
      <c r="I22" s="9">
        <v>4.4578663314710457E-2</v>
      </c>
      <c r="J22" s="10">
        <f>IFERROR('Stock Data'!N23,0.01)</f>
        <v>1E-4</v>
      </c>
      <c r="K22" s="11">
        <f t="shared" si="0"/>
        <v>4.4478663314710454E-2</v>
      </c>
    </row>
    <row r="23" spans="1:11" x14ac:dyDescent="0.35">
      <c r="D23" s="5" t="str">
        <f>IFERROR('Stock Data'!B24,"")</f>
        <v>APA</v>
      </c>
      <c r="E23" s="6" t="str">
        <f>IFERROR('Stock Data'!D24,"")</f>
        <v>Energy</v>
      </c>
      <c r="F23" s="7">
        <f>IFERROR('Stock Data'!K24,1)</f>
        <v>0.76</v>
      </c>
      <c r="G23" s="8">
        <f>IFERROR('Stock Data'!M24,0)</f>
        <v>7.5999999999999998E-2</v>
      </c>
      <c r="H23" s="8">
        <f>IFERROR('Stock Data'!L24,0.25)</f>
        <v>0.151</v>
      </c>
      <c r="I23" s="9">
        <v>3.9684816992867716E-2</v>
      </c>
      <c r="J23" s="10">
        <f>IFERROR('Stock Data'!N24,0.01)</f>
        <v>1E-4</v>
      </c>
      <c r="K23" s="11">
        <f t="shared" si="0"/>
        <v>3.9584816992867713E-2</v>
      </c>
    </row>
    <row r="24" spans="1:11" x14ac:dyDescent="0.35">
      <c r="D24" s="5" t="str">
        <f>IFERROR('Stock Data'!B25,"")</f>
        <v>HG</v>
      </c>
      <c r="E24" s="6" t="str">
        <f>IFERROR('Stock Data'!D25,"")</f>
        <v>Financial Services</v>
      </c>
      <c r="F24" s="7">
        <f>IFERROR('Stock Data'!K25,1)</f>
        <v>0.69</v>
      </c>
      <c r="G24" s="8">
        <f>IFERROR('Stock Data'!M25,0)</f>
        <v>3.3000000000000002E-2</v>
      </c>
      <c r="H24" s="8">
        <f>IFERROR('Stock Data'!L25,0.25)</f>
        <v>0.15</v>
      </c>
      <c r="I24" s="9">
        <v>3.9434036921569306E-2</v>
      </c>
      <c r="J24" s="10">
        <f>IFERROR('Stock Data'!N25,0.01)</f>
        <v>0</v>
      </c>
      <c r="K24" s="11">
        <f t="shared" si="0"/>
        <v>3.9434036921569306E-2</v>
      </c>
    </row>
    <row r="25" spans="1:11" x14ac:dyDescent="0.35">
      <c r="D25" s="5" t="str">
        <f>IFERROR('Stock Data'!B26,"")</f>
        <v>KMB</v>
      </c>
      <c r="E25" s="6" t="str">
        <f>IFERROR('Stock Data'!D26,"")</f>
        <v>Consumer Defensive</v>
      </c>
      <c r="F25" s="7">
        <f>IFERROR('Stock Data'!K26,1)</f>
        <v>0.26</v>
      </c>
      <c r="G25" s="8">
        <f>IFERROR('Stock Data'!M26,0)</f>
        <v>0.25600000000000001</v>
      </c>
      <c r="H25" s="8">
        <f>IFERROR('Stock Data'!L26,0.25)</f>
        <v>0.15</v>
      </c>
      <c r="I25" s="9">
        <v>4.3736419824814118E-2</v>
      </c>
      <c r="J25" s="10">
        <f>IFERROR('Stock Data'!N26,0.01)</f>
        <v>5.0000000000000001E-4</v>
      </c>
      <c r="K25" s="11">
        <f t="shared" si="0"/>
        <v>4.3236419824814118E-2</v>
      </c>
    </row>
    <row r="26" spans="1:11" x14ac:dyDescent="0.35">
      <c r="D26" s="5" t="str">
        <f>IFERROR('Stock Data'!B27,"")</f>
        <v>WFRD</v>
      </c>
      <c r="E26" s="6" t="str">
        <f>IFERROR('Stock Data'!D27,"")</f>
        <v>Energy</v>
      </c>
      <c r="F26" s="7">
        <f>IFERROR('Stock Data'!K27,1)</f>
        <v>0.94</v>
      </c>
      <c r="G26" s="8">
        <f>IFERROR('Stock Data'!M27,0)</f>
        <v>0.13900000000000001</v>
      </c>
      <c r="H26" s="8">
        <f>IFERROR('Stock Data'!L27,0.25)</f>
        <v>0.188</v>
      </c>
      <c r="I26" s="9">
        <v>4.0381234720371584E-2</v>
      </c>
      <c r="J26" s="10">
        <f>IFERROR('Stock Data'!N27,0.01)</f>
        <v>1E-4</v>
      </c>
      <c r="K26" s="11">
        <f t="shared" si="0"/>
        <v>4.0281234720371581E-2</v>
      </c>
    </row>
    <row r="27" spans="1:11" x14ac:dyDescent="0.35">
      <c r="D27" s="5">
        <f>IFERROR('Stock Data'!B28,"")</f>
        <v>0</v>
      </c>
      <c r="E27" s="6">
        <f>IFERROR('Stock Data'!D28,"")</f>
        <v>0</v>
      </c>
      <c r="F27" s="7">
        <f>IFERROR('Stock Data'!K28,1)</f>
        <v>0</v>
      </c>
      <c r="G27" s="8">
        <f>IFERROR('Stock Data'!M28,0)</f>
        <v>0</v>
      </c>
      <c r="H27" s="8">
        <f>IFERROR('Stock Data'!L28,0.25)</f>
        <v>0</v>
      </c>
      <c r="I27" s="9">
        <v>0</v>
      </c>
      <c r="J27" s="10">
        <f>IFERROR('Stock Data'!N28,0.01)</f>
        <v>0</v>
      </c>
      <c r="K27" s="11">
        <f t="shared" si="0"/>
        <v>0</v>
      </c>
    </row>
    <row r="28" spans="1:11" x14ac:dyDescent="0.35">
      <c r="D28" s="5">
        <f>IFERROR('Stock Data'!B29,"")</f>
        <v>0</v>
      </c>
      <c r="E28" s="6">
        <f>IFERROR('Stock Data'!D29,"")</f>
        <v>0</v>
      </c>
      <c r="F28" s="7">
        <f>IFERROR('Stock Data'!K29,1)</f>
        <v>0</v>
      </c>
      <c r="G28" s="8">
        <f>IFERROR('Stock Data'!M29,0)</f>
        <v>0</v>
      </c>
      <c r="H28" s="8">
        <f>IFERROR('Stock Data'!L29,0.25)</f>
        <v>0</v>
      </c>
      <c r="I28" s="9">
        <v>0</v>
      </c>
      <c r="J28" s="10">
        <f>IFERROR('Stock Data'!N29,0.01)</f>
        <v>0</v>
      </c>
      <c r="K28" s="11">
        <f t="shared" si="0"/>
        <v>0</v>
      </c>
    </row>
    <row r="29" spans="1:11" x14ac:dyDescent="0.35">
      <c r="D29" s="5">
        <f>IFERROR('Stock Data'!B30,"")</f>
        <v>0</v>
      </c>
      <c r="E29" s="6">
        <f>IFERROR('Stock Data'!D30,"")</f>
        <v>0</v>
      </c>
      <c r="F29" s="7">
        <f>IFERROR('Stock Data'!K30,1)</f>
        <v>0</v>
      </c>
      <c r="G29" s="8">
        <f>IFERROR('Stock Data'!M30,0)</f>
        <v>0</v>
      </c>
      <c r="H29" s="8">
        <f>IFERROR('Stock Data'!L30,0.25)</f>
        <v>0</v>
      </c>
      <c r="I29" s="9">
        <v>0</v>
      </c>
      <c r="J29" s="10">
        <f>IFERROR('Stock Data'!N30,0.01)</f>
        <v>0</v>
      </c>
      <c r="K29" s="11">
        <f t="shared" si="0"/>
        <v>0</v>
      </c>
    </row>
    <row r="30" spans="1:11" x14ac:dyDescent="0.35">
      <c r="D30" s="5">
        <f>IFERROR('Stock Data'!B31,"")</f>
        <v>0</v>
      </c>
      <c r="E30" s="6">
        <f>IFERROR('Stock Data'!D31,"")</f>
        <v>0</v>
      </c>
      <c r="F30" s="7">
        <f>IFERROR('Stock Data'!K31,1)</f>
        <v>0</v>
      </c>
      <c r="G30" s="8">
        <f>IFERROR('Stock Data'!M31,0)</f>
        <v>0</v>
      </c>
      <c r="H30" s="8">
        <f>IFERROR('Stock Data'!L31,0.25)</f>
        <v>0</v>
      </c>
      <c r="I30" s="9">
        <v>0</v>
      </c>
      <c r="J30" s="10">
        <f>IFERROR('Stock Data'!N31,0.01)</f>
        <v>0</v>
      </c>
      <c r="K30" s="11">
        <f t="shared" si="0"/>
        <v>0</v>
      </c>
    </row>
    <row r="31" spans="1:11" x14ac:dyDescent="0.35">
      <c r="D31" s="5">
        <f>IFERROR('Stock Data'!B32,"")</f>
        <v>0</v>
      </c>
      <c r="E31" s="6">
        <f>IFERROR('Stock Data'!D32,"")</f>
        <v>0</v>
      </c>
      <c r="F31" s="7">
        <f>IFERROR('Stock Data'!K32,1)</f>
        <v>0</v>
      </c>
      <c r="G31" s="8">
        <f>IFERROR('Stock Data'!M32,0)</f>
        <v>0</v>
      </c>
      <c r="H31" s="8">
        <f>IFERROR('Stock Data'!L32,0.25)</f>
        <v>0</v>
      </c>
      <c r="I31" s="9">
        <v>0</v>
      </c>
      <c r="J31" s="10">
        <f>IFERROR('Stock Data'!N32,0.01)</f>
        <v>0</v>
      </c>
      <c r="K31" s="11">
        <f t="shared" si="0"/>
        <v>0</v>
      </c>
    </row>
    <row r="32" spans="1:11" x14ac:dyDescent="0.35">
      <c r="D32" s="5">
        <f>IFERROR('Stock Data'!B33,"")</f>
        <v>0</v>
      </c>
      <c r="E32" s="6">
        <f>IFERROR('Stock Data'!D33,"")</f>
        <v>0</v>
      </c>
      <c r="F32" s="7">
        <f>IFERROR('Stock Data'!K33,1)</f>
        <v>0</v>
      </c>
      <c r="G32" s="8">
        <f>IFERROR('Stock Data'!M33,0)</f>
        <v>0</v>
      </c>
      <c r="H32" s="8">
        <f>IFERROR('Stock Data'!L33,0.25)</f>
        <v>0</v>
      </c>
      <c r="I32" s="9">
        <v>0</v>
      </c>
      <c r="J32" s="10">
        <f>IFERROR('Stock Data'!N33,0.01)</f>
        <v>0</v>
      </c>
      <c r="K32" s="11">
        <f t="shared" si="0"/>
        <v>0</v>
      </c>
    </row>
    <row r="33" spans="4:11" x14ac:dyDescent="0.35">
      <c r="D33" s="5">
        <f>IFERROR('Stock Data'!B34,"")</f>
        <v>0</v>
      </c>
      <c r="E33" s="6">
        <f>IFERROR('Stock Data'!D34,"")</f>
        <v>0</v>
      </c>
      <c r="F33" s="7">
        <f>IFERROR('Stock Data'!K34,1)</f>
        <v>0</v>
      </c>
      <c r="G33" s="8">
        <f>IFERROR('Stock Data'!M34,0)</f>
        <v>0</v>
      </c>
      <c r="H33" s="8">
        <f>IFERROR('Stock Data'!L34,0.25)</f>
        <v>0</v>
      </c>
      <c r="I33" s="9">
        <v>0</v>
      </c>
      <c r="J33" s="10">
        <f>IFERROR('Stock Data'!N34,0.01)</f>
        <v>0</v>
      </c>
      <c r="K33" s="11">
        <f t="shared" si="0"/>
        <v>0</v>
      </c>
    </row>
    <row r="34" spans="4:11" x14ac:dyDescent="0.35">
      <c r="D34" s="5">
        <f>IFERROR('Stock Data'!B35,"")</f>
        <v>0</v>
      </c>
      <c r="E34" s="6">
        <f>IFERROR('Stock Data'!D35,"")</f>
        <v>0</v>
      </c>
      <c r="F34" s="7">
        <f>IFERROR('Stock Data'!K35,1)</f>
        <v>0</v>
      </c>
      <c r="G34" s="8">
        <f>IFERROR('Stock Data'!M35,0)</f>
        <v>0</v>
      </c>
      <c r="H34" s="8">
        <f>IFERROR('Stock Data'!L35,0.25)</f>
        <v>0</v>
      </c>
      <c r="I34" s="9">
        <v>0</v>
      </c>
      <c r="J34" s="10">
        <f>IFERROR('Stock Data'!N35,0.01)</f>
        <v>0</v>
      </c>
      <c r="K34" s="11">
        <f t="shared" ref="K34:K65" si="1">I34-J34</f>
        <v>0</v>
      </c>
    </row>
    <row r="35" spans="4:11" x14ac:dyDescent="0.35">
      <c r="D35" s="5">
        <f>IFERROR('Stock Data'!B36,"")</f>
        <v>0</v>
      </c>
      <c r="E35" s="6">
        <f>IFERROR('Stock Data'!D36,"")</f>
        <v>0</v>
      </c>
      <c r="F35" s="7">
        <f>IFERROR('Stock Data'!K36,1)</f>
        <v>0</v>
      </c>
      <c r="G35" s="8">
        <f>IFERROR('Stock Data'!M36,0)</f>
        <v>0</v>
      </c>
      <c r="H35" s="8">
        <f>IFERROR('Stock Data'!L36,0.25)</f>
        <v>0</v>
      </c>
      <c r="I35" s="9">
        <v>0</v>
      </c>
      <c r="J35" s="10">
        <f>IFERROR('Stock Data'!N36,0.01)</f>
        <v>0</v>
      </c>
      <c r="K35" s="11">
        <f t="shared" si="1"/>
        <v>0</v>
      </c>
    </row>
    <row r="36" spans="4:11" x14ac:dyDescent="0.35">
      <c r="D36" s="5">
        <f>IFERROR('Stock Data'!B37,"")</f>
        <v>0</v>
      </c>
      <c r="E36" s="6">
        <f>IFERROR('Stock Data'!D37,"")</f>
        <v>0</v>
      </c>
      <c r="F36" s="7">
        <f>IFERROR('Stock Data'!K37,1)</f>
        <v>0</v>
      </c>
      <c r="G36" s="8">
        <f>IFERROR('Stock Data'!M37,0)</f>
        <v>0</v>
      </c>
      <c r="H36" s="8">
        <f>IFERROR('Stock Data'!L37,0.25)</f>
        <v>0</v>
      </c>
      <c r="I36" s="9">
        <v>0</v>
      </c>
      <c r="J36" s="10">
        <f>IFERROR('Stock Data'!N37,0.01)</f>
        <v>0</v>
      </c>
      <c r="K36" s="11">
        <f t="shared" si="1"/>
        <v>0</v>
      </c>
    </row>
    <row r="37" spans="4:11" x14ac:dyDescent="0.35">
      <c r="D37" s="5">
        <f>IFERROR('Stock Data'!B38,"")</f>
        <v>0</v>
      </c>
      <c r="E37" s="6">
        <f>IFERROR('Stock Data'!D38,"")</f>
        <v>0</v>
      </c>
      <c r="F37" s="7">
        <f>IFERROR('Stock Data'!K38,1)</f>
        <v>0</v>
      </c>
      <c r="G37" s="8">
        <f>IFERROR('Stock Data'!M38,0)</f>
        <v>0</v>
      </c>
      <c r="H37" s="8">
        <f>IFERROR('Stock Data'!L38,0.25)</f>
        <v>0</v>
      </c>
      <c r="I37" s="9">
        <v>0</v>
      </c>
      <c r="J37" s="10">
        <f>IFERROR('Stock Data'!N38,0.01)</f>
        <v>0</v>
      </c>
      <c r="K37" s="11">
        <f t="shared" si="1"/>
        <v>0</v>
      </c>
    </row>
    <row r="38" spans="4:11" x14ac:dyDescent="0.35">
      <c r="D38" s="5">
        <f>IFERROR('Stock Data'!B39,"")</f>
        <v>0</v>
      </c>
      <c r="E38" s="6">
        <f>IFERROR('Stock Data'!D39,"")</f>
        <v>0</v>
      </c>
      <c r="F38" s="7">
        <f>IFERROR('Stock Data'!K39,1)</f>
        <v>0</v>
      </c>
      <c r="G38" s="8">
        <f>IFERROR('Stock Data'!M39,0)</f>
        <v>0</v>
      </c>
      <c r="H38" s="8">
        <f>IFERROR('Stock Data'!L39,0.25)</f>
        <v>0</v>
      </c>
      <c r="I38" s="9">
        <v>0</v>
      </c>
      <c r="J38" s="10">
        <f>IFERROR('Stock Data'!N39,0.01)</f>
        <v>0</v>
      </c>
      <c r="K38" s="11">
        <f t="shared" si="1"/>
        <v>0</v>
      </c>
    </row>
    <row r="39" spans="4:11" x14ac:dyDescent="0.35">
      <c r="D39" s="5">
        <f>IFERROR('Stock Data'!B40,"")</f>
        <v>0</v>
      </c>
      <c r="E39" s="6">
        <f>IFERROR('Stock Data'!D40,"")</f>
        <v>0</v>
      </c>
      <c r="F39" s="7">
        <f>IFERROR('Stock Data'!K40,1)</f>
        <v>0</v>
      </c>
      <c r="G39" s="8">
        <f>IFERROR('Stock Data'!M40,0)</f>
        <v>0</v>
      </c>
      <c r="H39" s="8">
        <f>IFERROR('Stock Data'!L40,0.25)</f>
        <v>0</v>
      </c>
      <c r="I39" s="9">
        <v>0</v>
      </c>
      <c r="J39" s="10">
        <f>IFERROR('Stock Data'!N40,0.01)</f>
        <v>0</v>
      </c>
      <c r="K39" s="11">
        <f t="shared" si="1"/>
        <v>0</v>
      </c>
    </row>
    <row r="40" spans="4:11" x14ac:dyDescent="0.35">
      <c r="D40" s="5">
        <f>IFERROR('Stock Data'!B41,"")</f>
        <v>0</v>
      </c>
      <c r="E40" s="6">
        <f>IFERROR('Stock Data'!D41,"")</f>
        <v>0</v>
      </c>
      <c r="F40" s="7">
        <f>IFERROR('Stock Data'!K41,1)</f>
        <v>0</v>
      </c>
      <c r="G40" s="8">
        <f>IFERROR('Stock Data'!M41,0)</f>
        <v>0</v>
      </c>
      <c r="H40" s="8">
        <f>IFERROR('Stock Data'!L41,0.25)</f>
        <v>0</v>
      </c>
      <c r="I40" s="9">
        <v>0</v>
      </c>
      <c r="J40" s="10">
        <f>IFERROR('Stock Data'!N41,0.01)</f>
        <v>0</v>
      </c>
      <c r="K40" s="11">
        <f t="shared" si="1"/>
        <v>0</v>
      </c>
    </row>
    <row r="41" spans="4:11" x14ac:dyDescent="0.35">
      <c r="D41" s="5">
        <f>IFERROR('Stock Data'!B42,"")</f>
        <v>0</v>
      </c>
      <c r="E41" s="6">
        <f>IFERROR('Stock Data'!D42,"")</f>
        <v>0</v>
      </c>
      <c r="F41" s="7">
        <f>IFERROR('Stock Data'!K42,1)</f>
        <v>0</v>
      </c>
      <c r="G41" s="8">
        <f>IFERROR('Stock Data'!M42,0)</f>
        <v>0</v>
      </c>
      <c r="H41" s="8">
        <f>IFERROR('Stock Data'!L42,0.25)</f>
        <v>0</v>
      </c>
      <c r="I41" s="9">
        <v>0</v>
      </c>
      <c r="J41" s="10">
        <f>IFERROR('Stock Data'!N42,0.01)</f>
        <v>0</v>
      </c>
      <c r="K41" s="11">
        <f t="shared" si="1"/>
        <v>0</v>
      </c>
    </row>
    <row r="42" spans="4:11" x14ac:dyDescent="0.35">
      <c r="D42" s="5">
        <f>IFERROR('Stock Data'!B43,"")</f>
        <v>0</v>
      </c>
      <c r="E42" s="6">
        <f>IFERROR('Stock Data'!D43,"")</f>
        <v>0</v>
      </c>
      <c r="F42" s="7">
        <f>IFERROR('Stock Data'!K43,1)</f>
        <v>0</v>
      </c>
      <c r="G42" s="8">
        <f>IFERROR('Stock Data'!M43,0)</f>
        <v>0</v>
      </c>
      <c r="H42" s="8">
        <f>IFERROR('Stock Data'!L43,0.25)</f>
        <v>0</v>
      </c>
      <c r="I42" s="9">
        <v>0</v>
      </c>
      <c r="J42" s="10">
        <f>IFERROR('Stock Data'!N43,0.01)</f>
        <v>0</v>
      </c>
      <c r="K42" s="11">
        <f t="shared" si="1"/>
        <v>0</v>
      </c>
    </row>
    <row r="43" spans="4:11" x14ac:dyDescent="0.35">
      <c r="D43" s="5">
        <f>IFERROR('Stock Data'!B44,"")</f>
        <v>0</v>
      </c>
      <c r="E43" s="6">
        <f>IFERROR('Stock Data'!D44,"")</f>
        <v>0</v>
      </c>
      <c r="F43" s="7">
        <f>IFERROR('Stock Data'!K44,1)</f>
        <v>0</v>
      </c>
      <c r="G43" s="8">
        <f>IFERROR('Stock Data'!M44,0)</f>
        <v>0</v>
      </c>
      <c r="H43" s="8">
        <f>IFERROR('Stock Data'!L44,0.25)</f>
        <v>0</v>
      </c>
      <c r="I43" s="9">
        <v>0</v>
      </c>
      <c r="J43" s="10">
        <f>IFERROR('Stock Data'!N44,0.01)</f>
        <v>0</v>
      </c>
      <c r="K43" s="11">
        <f t="shared" si="1"/>
        <v>0</v>
      </c>
    </row>
    <row r="44" spans="4:11" x14ac:dyDescent="0.35">
      <c r="D44" s="5">
        <f>IFERROR('Stock Data'!B45,"")</f>
        <v>0</v>
      </c>
      <c r="E44" s="6">
        <f>IFERROR('Stock Data'!D45,"")</f>
        <v>0</v>
      </c>
      <c r="F44" s="7">
        <f>IFERROR('Stock Data'!K45,1)</f>
        <v>0</v>
      </c>
      <c r="G44" s="8">
        <f>IFERROR('Stock Data'!M45,0)</f>
        <v>0</v>
      </c>
      <c r="H44" s="8">
        <f>IFERROR('Stock Data'!L45,0.25)</f>
        <v>0</v>
      </c>
      <c r="I44" s="9">
        <v>0</v>
      </c>
      <c r="J44" s="10">
        <f>IFERROR('Stock Data'!N45,0.01)</f>
        <v>0</v>
      </c>
      <c r="K44" s="11">
        <f t="shared" si="1"/>
        <v>0</v>
      </c>
    </row>
    <row r="45" spans="4:11" x14ac:dyDescent="0.35">
      <c r="D45" s="5">
        <f>IFERROR('Stock Data'!B46,"")</f>
        <v>0</v>
      </c>
      <c r="E45" s="6">
        <f>IFERROR('Stock Data'!D46,"")</f>
        <v>0</v>
      </c>
      <c r="F45" s="7">
        <f>IFERROR('Stock Data'!K46,1)</f>
        <v>0</v>
      </c>
      <c r="G45" s="8">
        <f>IFERROR('Stock Data'!M46,0)</f>
        <v>0</v>
      </c>
      <c r="H45" s="8">
        <f>IFERROR('Stock Data'!L46,0.25)</f>
        <v>0</v>
      </c>
      <c r="I45" s="9">
        <v>0</v>
      </c>
      <c r="J45" s="10">
        <f>IFERROR('Stock Data'!N46,0.01)</f>
        <v>0</v>
      </c>
      <c r="K45" s="11">
        <f t="shared" si="1"/>
        <v>0</v>
      </c>
    </row>
    <row r="46" spans="4:11" x14ac:dyDescent="0.35">
      <c r="D46" s="5">
        <f>IFERROR('Stock Data'!B47,"")</f>
        <v>0</v>
      </c>
      <c r="E46" s="6">
        <f>IFERROR('Stock Data'!D47,"")</f>
        <v>0</v>
      </c>
      <c r="F46" s="7">
        <f>IFERROR('Stock Data'!K47,1)</f>
        <v>0</v>
      </c>
      <c r="G46" s="8">
        <f>IFERROR('Stock Data'!M47,0)</f>
        <v>0</v>
      </c>
      <c r="H46" s="8">
        <f>IFERROR('Stock Data'!L47,0.25)</f>
        <v>0</v>
      </c>
      <c r="I46" s="9">
        <v>0</v>
      </c>
      <c r="J46" s="10">
        <f>IFERROR('Stock Data'!N47,0.01)</f>
        <v>0</v>
      </c>
      <c r="K46" s="11">
        <f t="shared" si="1"/>
        <v>0</v>
      </c>
    </row>
    <row r="47" spans="4:11" x14ac:dyDescent="0.35">
      <c r="D47" s="5">
        <f>IFERROR('Stock Data'!B48,"")</f>
        <v>0</v>
      </c>
      <c r="E47" s="6">
        <f>IFERROR('Stock Data'!D48,"")</f>
        <v>0</v>
      </c>
      <c r="F47" s="7">
        <f>IFERROR('Stock Data'!K48,1)</f>
        <v>0</v>
      </c>
      <c r="G47" s="8">
        <f>IFERROR('Stock Data'!M48,0)</f>
        <v>0</v>
      </c>
      <c r="H47" s="8">
        <f>IFERROR('Stock Data'!L48,0.25)</f>
        <v>0</v>
      </c>
      <c r="I47" s="9">
        <v>0</v>
      </c>
      <c r="J47" s="10">
        <f>IFERROR('Stock Data'!N48,0.01)</f>
        <v>0</v>
      </c>
      <c r="K47" s="11">
        <f t="shared" si="1"/>
        <v>0</v>
      </c>
    </row>
    <row r="48" spans="4:11" x14ac:dyDescent="0.35">
      <c r="D48" s="5">
        <f>IFERROR('Stock Data'!B49,"")</f>
        <v>0</v>
      </c>
      <c r="E48" s="6">
        <f>IFERROR('Stock Data'!D49,"")</f>
        <v>0</v>
      </c>
      <c r="F48" s="7">
        <f>IFERROR('Stock Data'!K49,1)</f>
        <v>0</v>
      </c>
      <c r="G48" s="8">
        <f>IFERROR('Stock Data'!M49,0)</f>
        <v>0</v>
      </c>
      <c r="H48" s="8">
        <f>IFERROR('Stock Data'!L49,0.25)</f>
        <v>0</v>
      </c>
      <c r="I48" s="9">
        <v>0</v>
      </c>
      <c r="J48" s="10">
        <f>IFERROR('Stock Data'!N49,0.01)</f>
        <v>0</v>
      </c>
      <c r="K48" s="11">
        <f t="shared" si="1"/>
        <v>0</v>
      </c>
    </row>
    <row r="49" spans="4:11" x14ac:dyDescent="0.35">
      <c r="D49" s="5">
        <f>IFERROR('Stock Data'!B50,"")</f>
        <v>0</v>
      </c>
      <c r="E49" s="6">
        <f>IFERROR('Stock Data'!D50,"")</f>
        <v>0</v>
      </c>
      <c r="F49" s="7">
        <f>IFERROR('Stock Data'!K50,1)</f>
        <v>0</v>
      </c>
      <c r="G49" s="8">
        <f>IFERROR('Stock Data'!M50,0)</f>
        <v>0</v>
      </c>
      <c r="H49" s="8">
        <f>IFERROR('Stock Data'!L50,0.25)</f>
        <v>0</v>
      </c>
      <c r="I49" s="9">
        <v>0</v>
      </c>
      <c r="J49" s="10">
        <f>IFERROR('Stock Data'!N50,0.01)</f>
        <v>0</v>
      </c>
      <c r="K49" s="11">
        <f t="shared" si="1"/>
        <v>0</v>
      </c>
    </row>
    <row r="50" spans="4:11" x14ac:dyDescent="0.35">
      <c r="D50" s="5">
        <f>IFERROR('Stock Data'!B51,"")</f>
        <v>0</v>
      </c>
      <c r="E50" s="6">
        <f>IFERROR('Stock Data'!D51,"")</f>
        <v>0</v>
      </c>
      <c r="F50" s="7">
        <f>IFERROR('Stock Data'!K51,1)</f>
        <v>0</v>
      </c>
      <c r="G50" s="8">
        <f>IFERROR('Stock Data'!M51,0)</f>
        <v>0</v>
      </c>
      <c r="H50" s="8">
        <f>IFERROR('Stock Data'!L51,0.25)</f>
        <v>0</v>
      </c>
      <c r="I50" s="9">
        <v>0</v>
      </c>
      <c r="J50" s="10">
        <f>IFERROR('Stock Data'!N51,0.01)</f>
        <v>0</v>
      </c>
      <c r="K50" s="11">
        <f t="shared" si="1"/>
        <v>0</v>
      </c>
    </row>
    <row r="51" spans="4:11" x14ac:dyDescent="0.35">
      <c r="D51" s="5">
        <f>IFERROR('Stock Data'!B52,"")</f>
        <v>0</v>
      </c>
      <c r="E51" s="6">
        <f>IFERROR('Stock Data'!D52,"")</f>
        <v>0</v>
      </c>
      <c r="F51" s="7">
        <f>IFERROR('Stock Data'!K52,1)</f>
        <v>0</v>
      </c>
      <c r="G51" s="8">
        <f>IFERROR('Stock Data'!M52,0)</f>
        <v>0</v>
      </c>
      <c r="H51" s="8">
        <f>IFERROR('Stock Data'!L52,0.25)</f>
        <v>0</v>
      </c>
      <c r="I51" s="9">
        <v>0</v>
      </c>
      <c r="J51" s="10">
        <f>IFERROR('Stock Data'!N52,0.01)</f>
        <v>0</v>
      </c>
      <c r="K51" s="11">
        <f t="shared" si="1"/>
        <v>0</v>
      </c>
    </row>
    <row r="52" spans="4:11" x14ac:dyDescent="0.35">
      <c r="D52" s="5">
        <f>IFERROR('Stock Data'!B53,"")</f>
        <v>0</v>
      </c>
      <c r="E52" s="6">
        <f>IFERROR('Stock Data'!D53,"")</f>
        <v>0</v>
      </c>
      <c r="F52" s="7">
        <f>IFERROR('Stock Data'!K53,1)</f>
        <v>0</v>
      </c>
      <c r="G52" s="8">
        <f>IFERROR('Stock Data'!M53,0)</f>
        <v>0</v>
      </c>
      <c r="H52" s="8">
        <f>IFERROR('Stock Data'!L53,0.25)</f>
        <v>0</v>
      </c>
      <c r="I52" s="9">
        <v>0</v>
      </c>
      <c r="J52" s="10">
        <f>IFERROR('Stock Data'!N53,0.01)</f>
        <v>0</v>
      </c>
      <c r="K52" s="11">
        <f t="shared" si="1"/>
        <v>0</v>
      </c>
    </row>
    <row r="53" spans="4:11" x14ac:dyDescent="0.35">
      <c r="D53" s="5">
        <f>IFERROR('Stock Data'!B54,"")</f>
        <v>0</v>
      </c>
      <c r="E53" s="6">
        <f>IFERROR('Stock Data'!D54,"")</f>
        <v>0</v>
      </c>
      <c r="F53" s="7">
        <f>IFERROR('Stock Data'!K54,1)</f>
        <v>0</v>
      </c>
      <c r="G53" s="8">
        <f>IFERROR('Stock Data'!M54,0)</f>
        <v>0</v>
      </c>
      <c r="H53" s="8">
        <f>IFERROR('Stock Data'!L54,0.25)</f>
        <v>0</v>
      </c>
      <c r="I53" s="9">
        <v>0</v>
      </c>
      <c r="J53" s="10">
        <f>IFERROR('Stock Data'!N54,0.01)</f>
        <v>0</v>
      </c>
      <c r="K53" s="11">
        <f t="shared" si="1"/>
        <v>0</v>
      </c>
    </row>
    <row r="54" spans="4:11" x14ac:dyDescent="0.35">
      <c r="D54" s="5">
        <f>IFERROR('Stock Data'!B55,"")</f>
        <v>0</v>
      </c>
      <c r="E54" s="6">
        <f>IFERROR('Stock Data'!D55,"")</f>
        <v>0</v>
      </c>
      <c r="F54" s="7">
        <f>IFERROR('Stock Data'!K55,1)</f>
        <v>0</v>
      </c>
      <c r="G54" s="8">
        <f>IFERROR('Stock Data'!M55,0)</f>
        <v>0</v>
      </c>
      <c r="H54" s="8">
        <f>IFERROR('Stock Data'!L55,0.25)</f>
        <v>0</v>
      </c>
      <c r="I54" s="9">
        <v>0</v>
      </c>
      <c r="J54" s="10">
        <f>IFERROR('Stock Data'!N55,0.01)</f>
        <v>0</v>
      </c>
      <c r="K54" s="11">
        <f t="shared" si="1"/>
        <v>0</v>
      </c>
    </row>
    <row r="55" spans="4:11" x14ac:dyDescent="0.35">
      <c r="D55" s="5">
        <f>IFERROR('Stock Data'!B56,"")</f>
        <v>0</v>
      </c>
      <c r="E55" s="6">
        <f>IFERROR('Stock Data'!D56,"")</f>
        <v>0</v>
      </c>
      <c r="F55" s="7">
        <f>IFERROR('Stock Data'!K56,1)</f>
        <v>0</v>
      </c>
      <c r="G55" s="8">
        <f>IFERROR('Stock Data'!M56,0)</f>
        <v>0</v>
      </c>
      <c r="H55" s="8">
        <f>IFERROR('Stock Data'!L56,0.25)</f>
        <v>0</v>
      </c>
      <c r="I55" s="9">
        <v>0</v>
      </c>
      <c r="J55" s="10">
        <f>IFERROR('Stock Data'!N56,0.01)</f>
        <v>0</v>
      </c>
      <c r="K55" s="11">
        <f t="shared" si="1"/>
        <v>0</v>
      </c>
    </row>
    <row r="56" spans="4:11" x14ac:dyDescent="0.35">
      <c r="D56" s="5">
        <f>IFERROR('Stock Data'!B57,"")</f>
        <v>0</v>
      </c>
      <c r="E56" s="6">
        <f>IFERROR('Stock Data'!D57,"")</f>
        <v>0</v>
      </c>
      <c r="F56" s="7">
        <f>IFERROR('Stock Data'!K57,1)</f>
        <v>0</v>
      </c>
      <c r="G56" s="8">
        <f>IFERROR('Stock Data'!M57,0)</f>
        <v>0</v>
      </c>
      <c r="H56" s="8">
        <f>IFERROR('Stock Data'!L57,0.25)</f>
        <v>0</v>
      </c>
      <c r="I56" s="9">
        <v>0</v>
      </c>
      <c r="J56" s="10">
        <f>IFERROR('Stock Data'!N57,0.01)</f>
        <v>0</v>
      </c>
      <c r="K56" s="11">
        <f t="shared" si="1"/>
        <v>0</v>
      </c>
    </row>
    <row r="57" spans="4:11" x14ac:dyDescent="0.35">
      <c r="D57" s="5">
        <f>IFERROR('Stock Data'!B58,"")</f>
        <v>0</v>
      </c>
      <c r="E57" s="6">
        <f>IFERROR('Stock Data'!D58,"")</f>
        <v>0</v>
      </c>
      <c r="F57" s="7">
        <f>IFERROR('Stock Data'!K58,1)</f>
        <v>0</v>
      </c>
      <c r="G57" s="8">
        <f>IFERROR('Stock Data'!M58,0)</f>
        <v>0</v>
      </c>
      <c r="H57" s="8">
        <f>IFERROR('Stock Data'!L58,0.25)</f>
        <v>0</v>
      </c>
      <c r="I57" s="9">
        <v>0</v>
      </c>
      <c r="J57" s="10">
        <f>IFERROR('Stock Data'!N58,0.01)</f>
        <v>0</v>
      </c>
      <c r="K57" s="11">
        <f t="shared" si="1"/>
        <v>0</v>
      </c>
    </row>
    <row r="58" spans="4:11" x14ac:dyDescent="0.35">
      <c r="D58" s="5">
        <f>IFERROR('Stock Data'!B59,"")</f>
        <v>0</v>
      </c>
      <c r="E58" s="6">
        <f>IFERROR('Stock Data'!D59,"")</f>
        <v>0</v>
      </c>
      <c r="F58" s="7">
        <f>IFERROR('Stock Data'!K59,1)</f>
        <v>0</v>
      </c>
      <c r="G58" s="8">
        <f>IFERROR('Stock Data'!M59,0)</f>
        <v>0</v>
      </c>
      <c r="H58" s="8">
        <f>IFERROR('Stock Data'!L59,0.25)</f>
        <v>0</v>
      </c>
      <c r="I58" s="9">
        <v>0</v>
      </c>
      <c r="J58" s="10">
        <f>IFERROR('Stock Data'!N59,0.01)</f>
        <v>0</v>
      </c>
      <c r="K58" s="11">
        <f t="shared" si="1"/>
        <v>0</v>
      </c>
    </row>
    <row r="59" spans="4:11" x14ac:dyDescent="0.35">
      <c r="D59" s="5">
        <f>IFERROR('Stock Data'!B60,"")</f>
        <v>0</v>
      </c>
      <c r="E59" s="6">
        <f>IFERROR('Stock Data'!D60,"")</f>
        <v>0</v>
      </c>
      <c r="F59" s="7">
        <f>IFERROR('Stock Data'!K60,1)</f>
        <v>0</v>
      </c>
      <c r="G59" s="8">
        <f>IFERROR('Stock Data'!M60,0)</f>
        <v>0</v>
      </c>
      <c r="H59" s="8">
        <f>IFERROR('Stock Data'!L60,0.25)</f>
        <v>0</v>
      </c>
      <c r="I59" s="9">
        <v>0</v>
      </c>
      <c r="J59" s="10">
        <f>IFERROR('Stock Data'!N60,0.01)</f>
        <v>0</v>
      </c>
      <c r="K59" s="11">
        <f t="shared" si="1"/>
        <v>0</v>
      </c>
    </row>
    <row r="60" spans="4:11" x14ac:dyDescent="0.35">
      <c r="D60" s="5">
        <f>IFERROR('Stock Data'!B61,"")</f>
        <v>0</v>
      </c>
      <c r="E60" s="6">
        <f>IFERROR('Stock Data'!D61,"")</f>
        <v>0</v>
      </c>
      <c r="F60" s="7">
        <f>IFERROR('Stock Data'!K61,1)</f>
        <v>0</v>
      </c>
      <c r="G60" s="8">
        <f>IFERROR('Stock Data'!M61,0)</f>
        <v>0</v>
      </c>
      <c r="H60" s="8">
        <f>IFERROR('Stock Data'!L61,0.25)</f>
        <v>0</v>
      </c>
      <c r="I60" s="9">
        <v>0</v>
      </c>
      <c r="J60" s="10">
        <f>IFERROR('Stock Data'!N61,0.01)</f>
        <v>0</v>
      </c>
      <c r="K60" s="11">
        <f t="shared" si="1"/>
        <v>0</v>
      </c>
    </row>
    <row r="61" spans="4:11" x14ac:dyDescent="0.35">
      <c r="D61" s="5">
        <f>IFERROR('Stock Data'!B62,"")</f>
        <v>0</v>
      </c>
      <c r="E61" s="6">
        <f>IFERROR('Stock Data'!D62,"")</f>
        <v>0</v>
      </c>
      <c r="F61" s="7">
        <f>IFERROR('Stock Data'!K62,1)</f>
        <v>0</v>
      </c>
      <c r="G61" s="8">
        <f>IFERROR('Stock Data'!M62,0)</f>
        <v>0</v>
      </c>
      <c r="H61" s="8">
        <f>IFERROR('Stock Data'!L62,0.25)</f>
        <v>0</v>
      </c>
      <c r="I61" s="9">
        <v>0</v>
      </c>
      <c r="J61" s="10">
        <f>IFERROR('Stock Data'!N62,0.01)</f>
        <v>0</v>
      </c>
      <c r="K61" s="11">
        <f t="shared" si="1"/>
        <v>0</v>
      </c>
    </row>
    <row r="62" spans="4:11" x14ac:dyDescent="0.35">
      <c r="D62" s="5">
        <f>IFERROR('Stock Data'!B63,"")</f>
        <v>0</v>
      </c>
      <c r="E62" s="6">
        <f>IFERROR('Stock Data'!D63,"")</f>
        <v>0</v>
      </c>
      <c r="F62" s="7">
        <f>IFERROR('Stock Data'!K63,1)</f>
        <v>0</v>
      </c>
      <c r="G62" s="8">
        <f>IFERROR('Stock Data'!M63,0)</f>
        <v>0</v>
      </c>
      <c r="H62" s="8">
        <f>IFERROR('Stock Data'!L63,0.25)</f>
        <v>0</v>
      </c>
      <c r="I62" s="9">
        <v>0</v>
      </c>
      <c r="J62" s="10">
        <f>IFERROR('Stock Data'!N63,0.01)</f>
        <v>0</v>
      </c>
      <c r="K62" s="11">
        <f t="shared" si="1"/>
        <v>0</v>
      </c>
    </row>
    <row r="63" spans="4:11" x14ac:dyDescent="0.35">
      <c r="D63" s="5">
        <f>IFERROR('Stock Data'!B64,"")</f>
        <v>0</v>
      </c>
      <c r="E63" s="6">
        <f>IFERROR('Stock Data'!D64,"")</f>
        <v>0</v>
      </c>
      <c r="F63" s="7">
        <f>IFERROR('Stock Data'!K64,1)</f>
        <v>0</v>
      </c>
      <c r="G63" s="8">
        <f>IFERROR('Stock Data'!M64,0)</f>
        <v>0</v>
      </c>
      <c r="H63" s="8">
        <f>IFERROR('Stock Data'!L64,0.25)</f>
        <v>0</v>
      </c>
      <c r="I63" s="9">
        <v>0</v>
      </c>
      <c r="J63" s="10">
        <f>IFERROR('Stock Data'!N64,0.01)</f>
        <v>0</v>
      </c>
      <c r="K63" s="11">
        <f t="shared" si="1"/>
        <v>0</v>
      </c>
    </row>
    <row r="64" spans="4:11" x14ac:dyDescent="0.35">
      <c r="D64" s="5">
        <f>IFERROR('Stock Data'!B65,"")</f>
        <v>0</v>
      </c>
      <c r="E64" s="6">
        <f>IFERROR('Stock Data'!D65,"")</f>
        <v>0</v>
      </c>
      <c r="F64" s="7">
        <f>IFERROR('Stock Data'!K65,1)</f>
        <v>0</v>
      </c>
      <c r="G64" s="8">
        <f>IFERROR('Stock Data'!M65,0)</f>
        <v>0</v>
      </c>
      <c r="H64" s="8">
        <f>IFERROR('Stock Data'!L65,0.25)</f>
        <v>0</v>
      </c>
      <c r="I64" s="9">
        <v>0</v>
      </c>
      <c r="J64" s="10">
        <f>IFERROR('Stock Data'!N65,0.01)</f>
        <v>0</v>
      </c>
      <c r="K64" s="11">
        <f t="shared" si="1"/>
        <v>0</v>
      </c>
    </row>
    <row r="65" spans="4:11" x14ac:dyDescent="0.35">
      <c r="D65" s="5">
        <f>IFERROR('Stock Data'!B66,"")</f>
        <v>0</v>
      </c>
      <c r="E65" s="6">
        <f>IFERROR('Stock Data'!D66,"")</f>
        <v>0</v>
      </c>
      <c r="F65" s="7">
        <f>IFERROR('Stock Data'!K66,1)</f>
        <v>0</v>
      </c>
      <c r="G65" s="8">
        <f>IFERROR('Stock Data'!M66,0)</f>
        <v>0</v>
      </c>
      <c r="H65" s="8">
        <f>IFERROR('Stock Data'!L66,0.25)</f>
        <v>0</v>
      </c>
      <c r="I65" s="9">
        <v>0</v>
      </c>
      <c r="J65" s="10">
        <f>IFERROR('Stock Data'!N66,0.01)</f>
        <v>0</v>
      </c>
      <c r="K65" s="11">
        <f t="shared" si="1"/>
        <v>0</v>
      </c>
    </row>
    <row r="66" spans="4:11" x14ac:dyDescent="0.35">
      <c r="D66" s="5">
        <f>IFERROR('Stock Data'!B67,"")</f>
        <v>0</v>
      </c>
      <c r="E66" s="6">
        <f>IFERROR('Stock Data'!D67,"")</f>
        <v>0</v>
      </c>
      <c r="F66" s="7">
        <f>IFERROR('Stock Data'!K67,1)</f>
        <v>0</v>
      </c>
      <c r="G66" s="8">
        <f>IFERROR('Stock Data'!M67,0)</f>
        <v>0</v>
      </c>
      <c r="H66" s="8">
        <f>IFERROR('Stock Data'!L67,0.25)</f>
        <v>0</v>
      </c>
      <c r="I66" s="9">
        <v>0</v>
      </c>
      <c r="J66" s="10">
        <f>IFERROR('Stock Data'!N67,0.01)</f>
        <v>0</v>
      </c>
      <c r="K66" s="11">
        <f t="shared" ref="K66:K97" si="2">I66-J66</f>
        <v>0</v>
      </c>
    </row>
    <row r="67" spans="4:11" x14ac:dyDescent="0.35">
      <c r="D67" s="5">
        <f>IFERROR('Stock Data'!B68,"")</f>
        <v>0</v>
      </c>
      <c r="E67" s="6">
        <f>IFERROR('Stock Data'!D68,"")</f>
        <v>0</v>
      </c>
      <c r="F67" s="7">
        <f>IFERROR('Stock Data'!K68,1)</f>
        <v>0</v>
      </c>
      <c r="G67" s="8">
        <f>IFERROR('Stock Data'!M68,0)</f>
        <v>0</v>
      </c>
      <c r="H67" s="8">
        <f>IFERROR('Stock Data'!L68,0.25)</f>
        <v>0</v>
      </c>
      <c r="I67" s="9">
        <v>0</v>
      </c>
      <c r="J67" s="10">
        <f>IFERROR('Stock Data'!N68,0.01)</f>
        <v>0</v>
      </c>
      <c r="K67" s="11">
        <f t="shared" si="2"/>
        <v>0</v>
      </c>
    </row>
    <row r="68" spans="4:11" x14ac:dyDescent="0.35">
      <c r="D68" s="5">
        <f>IFERROR('Stock Data'!B69,"")</f>
        <v>0</v>
      </c>
      <c r="E68" s="6">
        <f>IFERROR('Stock Data'!D69,"")</f>
        <v>0</v>
      </c>
      <c r="F68" s="7">
        <f>IFERROR('Stock Data'!K69,1)</f>
        <v>0</v>
      </c>
      <c r="G68" s="8">
        <f>IFERROR('Stock Data'!M69,0)</f>
        <v>0</v>
      </c>
      <c r="H68" s="8">
        <f>IFERROR('Stock Data'!L69,0.25)</f>
        <v>0</v>
      </c>
      <c r="I68" s="9">
        <v>0</v>
      </c>
      <c r="J68" s="10">
        <f>IFERROR('Stock Data'!N69,0.01)</f>
        <v>0</v>
      </c>
      <c r="K68" s="11">
        <f t="shared" si="2"/>
        <v>0</v>
      </c>
    </row>
    <row r="69" spans="4:11" x14ac:dyDescent="0.35">
      <c r="D69" s="5">
        <f>IFERROR('Stock Data'!B70,"")</f>
        <v>0</v>
      </c>
      <c r="E69" s="6">
        <f>IFERROR('Stock Data'!D70,"")</f>
        <v>0</v>
      </c>
      <c r="F69" s="7">
        <f>IFERROR('Stock Data'!K70,1)</f>
        <v>0</v>
      </c>
      <c r="G69" s="8">
        <f>IFERROR('Stock Data'!M70,0)</f>
        <v>0</v>
      </c>
      <c r="H69" s="8">
        <f>IFERROR('Stock Data'!L70,0.25)</f>
        <v>0</v>
      </c>
      <c r="I69" s="9">
        <v>0</v>
      </c>
      <c r="J69" s="10">
        <f>IFERROR('Stock Data'!N70,0.01)</f>
        <v>0</v>
      </c>
      <c r="K69" s="11">
        <f t="shared" si="2"/>
        <v>0</v>
      </c>
    </row>
    <row r="70" spans="4:11" x14ac:dyDescent="0.35">
      <c r="D70" s="5">
        <f>IFERROR('Stock Data'!B71,"")</f>
        <v>0</v>
      </c>
      <c r="E70" s="6">
        <f>IFERROR('Stock Data'!D71,"")</f>
        <v>0</v>
      </c>
      <c r="F70" s="7">
        <f>IFERROR('Stock Data'!K71,1)</f>
        <v>0</v>
      </c>
      <c r="G70" s="8">
        <f>IFERROR('Stock Data'!M71,0)</f>
        <v>0</v>
      </c>
      <c r="H70" s="8">
        <f>IFERROR('Stock Data'!L71,0.25)</f>
        <v>0</v>
      </c>
      <c r="I70" s="9">
        <v>0</v>
      </c>
      <c r="J70" s="10">
        <f>IFERROR('Stock Data'!N71,0.01)</f>
        <v>0</v>
      </c>
      <c r="K70" s="11">
        <f t="shared" si="2"/>
        <v>0</v>
      </c>
    </row>
    <row r="71" spans="4:11" x14ac:dyDescent="0.35">
      <c r="D71" s="5">
        <f>IFERROR('Stock Data'!B72,"")</f>
        <v>0</v>
      </c>
      <c r="E71" s="6">
        <f>IFERROR('Stock Data'!D72,"")</f>
        <v>0</v>
      </c>
      <c r="F71" s="7">
        <f>IFERROR('Stock Data'!K72,1)</f>
        <v>0</v>
      </c>
      <c r="G71" s="8">
        <f>IFERROR('Stock Data'!M72,0)</f>
        <v>0</v>
      </c>
      <c r="H71" s="8">
        <f>IFERROR('Stock Data'!L72,0.25)</f>
        <v>0</v>
      </c>
      <c r="I71" s="9">
        <v>0</v>
      </c>
      <c r="J71" s="10">
        <f>IFERROR('Stock Data'!N72,0.01)</f>
        <v>0</v>
      </c>
      <c r="K71" s="11">
        <f t="shared" si="2"/>
        <v>0</v>
      </c>
    </row>
    <row r="72" spans="4:11" x14ac:dyDescent="0.35">
      <c r="D72" s="5">
        <f>IFERROR('Stock Data'!B73,"")</f>
        <v>0</v>
      </c>
      <c r="E72" s="6">
        <f>IFERROR('Stock Data'!D73,"")</f>
        <v>0</v>
      </c>
      <c r="F72" s="7">
        <f>IFERROR('Stock Data'!K73,1)</f>
        <v>0</v>
      </c>
      <c r="G72" s="8">
        <f>IFERROR('Stock Data'!M73,0)</f>
        <v>0</v>
      </c>
      <c r="H72" s="8">
        <f>IFERROR('Stock Data'!L73,0.25)</f>
        <v>0</v>
      </c>
      <c r="I72" s="9">
        <v>0</v>
      </c>
      <c r="J72" s="10">
        <f>IFERROR('Stock Data'!N73,0.01)</f>
        <v>0</v>
      </c>
      <c r="K72" s="11">
        <f t="shared" si="2"/>
        <v>0</v>
      </c>
    </row>
    <row r="73" spans="4:11" x14ac:dyDescent="0.35">
      <c r="D73" s="5">
        <f>IFERROR('Stock Data'!B74,"")</f>
        <v>0</v>
      </c>
      <c r="E73" s="6">
        <f>IFERROR('Stock Data'!D74,"")</f>
        <v>0</v>
      </c>
      <c r="F73" s="7">
        <f>IFERROR('Stock Data'!K74,1)</f>
        <v>0</v>
      </c>
      <c r="G73" s="8">
        <f>IFERROR('Stock Data'!M74,0)</f>
        <v>0</v>
      </c>
      <c r="H73" s="8">
        <f>IFERROR('Stock Data'!L74,0.25)</f>
        <v>0</v>
      </c>
      <c r="I73" s="9">
        <v>0</v>
      </c>
      <c r="J73" s="10">
        <f>IFERROR('Stock Data'!N74,0.01)</f>
        <v>0</v>
      </c>
      <c r="K73" s="11">
        <f t="shared" si="2"/>
        <v>0</v>
      </c>
    </row>
    <row r="74" spans="4:11" x14ac:dyDescent="0.35">
      <c r="D74" s="5">
        <f>IFERROR('Stock Data'!B75,"")</f>
        <v>0</v>
      </c>
      <c r="E74" s="6">
        <f>IFERROR('Stock Data'!D75,"")</f>
        <v>0</v>
      </c>
      <c r="F74" s="7">
        <f>IFERROR('Stock Data'!K75,1)</f>
        <v>0</v>
      </c>
      <c r="G74" s="8">
        <f>IFERROR('Stock Data'!M75,0)</f>
        <v>0</v>
      </c>
      <c r="H74" s="8">
        <f>IFERROR('Stock Data'!L75,0.25)</f>
        <v>0</v>
      </c>
      <c r="I74" s="9">
        <v>0</v>
      </c>
      <c r="J74" s="10">
        <f>IFERROR('Stock Data'!N75,0.01)</f>
        <v>0</v>
      </c>
      <c r="K74" s="11">
        <f t="shared" si="2"/>
        <v>0</v>
      </c>
    </row>
    <row r="75" spans="4:11" x14ac:dyDescent="0.35">
      <c r="D75" s="5">
        <f>IFERROR('Stock Data'!B76,"")</f>
        <v>0</v>
      </c>
      <c r="E75" s="6">
        <f>IFERROR('Stock Data'!D76,"")</f>
        <v>0</v>
      </c>
      <c r="F75" s="7">
        <f>IFERROR('Stock Data'!K76,1)</f>
        <v>0</v>
      </c>
      <c r="G75" s="8">
        <f>IFERROR('Stock Data'!M76,0)</f>
        <v>0</v>
      </c>
      <c r="H75" s="8">
        <f>IFERROR('Stock Data'!L76,0.25)</f>
        <v>0</v>
      </c>
      <c r="I75" s="9">
        <v>0</v>
      </c>
      <c r="J75" s="10">
        <f>IFERROR('Stock Data'!N76,0.01)</f>
        <v>0</v>
      </c>
      <c r="K75" s="11">
        <f t="shared" si="2"/>
        <v>0</v>
      </c>
    </row>
    <row r="76" spans="4:11" x14ac:dyDescent="0.35">
      <c r="D76" s="5">
        <f>IFERROR('Stock Data'!B77,"")</f>
        <v>0</v>
      </c>
      <c r="E76" s="6">
        <f>IFERROR('Stock Data'!D77,"")</f>
        <v>0</v>
      </c>
      <c r="F76" s="7">
        <f>IFERROR('Stock Data'!K77,1)</f>
        <v>0</v>
      </c>
      <c r="G76" s="8">
        <f>IFERROR('Stock Data'!M77,0)</f>
        <v>0</v>
      </c>
      <c r="H76" s="8">
        <f>IFERROR('Stock Data'!L77,0.25)</f>
        <v>0</v>
      </c>
      <c r="I76" s="9">
        <v>0</v>
      </c>
      <c r="J76" s="10">
        <f>IFERROR('Stock Data'!N77,0.01)</f>
        <v>0</v>
      </c>
      <c r="K76" s="11">
        <f t="shared" si="2"/>
        <v>0</v>
      </c>
    </row>
    <row r="77" spans="4:11" x14ac:dyDescent="0.35">
      <c r="D77" s="5">
        <f>IFERROR('Stock Data'!B78,"")</f>
        <v>0</v>
      </c>
      <c r="E77" s="6">
        <f>IFERROR('Stock Data'!D78,"")</f>
        <v>0</v>
      </c>
      <c r="F77" s="7">
        <f>IFERROR('Stock Data'!K78,1)</f>
        <v>0</v>
      </c>
      <c r="G77" s="8">
        <f>IFERROR('Stock Data'!M78,0)</f>
        <v>0</v>
      </c>
      <c r="H77" s="8">
        <f>IFERROR('Stock Data'!L78,0.25)</f>
        <v>0</v>
      </c>
      <c r="I77" s="9">
        <v>0</v>
      </c>
      <c r="J77" s="10">
        <f>IFERROR('Stock Data'!N78,0.01)</f>
        <v>0</v>
      </c>
      <c r="K77" s="11">
        <f t="shared" si="2"/>
        <v>0</v>
      </c>
    </row>
    <row r="78" spans="4:11" x14ac:dyDescent="0.35">
      <c r="D78" s="5">
        <f>IFERROR('Stock Data'!B79,"")</f>
        <v>0</v>
      </c>
      <c r="E78" s="6">
        <f>IFERROR('Stock Data'!D79,"")</f>
        <v>0</v>
      </c>
      <c r="F78" s="7">
        <f>IFERROR('Stock Data'!K79,1)</f>
        <v>0</v>
      </c>
      <c r="G78" s="8">
        <f>IFERROR('Stock Data'!M79,0)</f>
        <v>0</v>
      </c>
      <c r="H78" s="8">
        <f>IFERROR('Stock Data'!L79,0.25)</f>
        <v>0</v>
      </c>
      <c r="I78" s="9">
        <v>0</v>
      </c>
      <c r="J78" s="10">
        <f>IFERROR('Stock Data'!N79,0.01)</f>
        <v>0</v>
      </c>
      <c r="K78" s="11">
        <f t="shared" si="2"/>
        <v>0</v>
      </c>
    </row>
    <row r="79" spans="4:11" x14ac:dyDescent="0.35">
      <c r="D79" s="5">
        <f>IFERROR('Stock Data'!B80,"")</f>
        <v>0</v>
      </c>
      <c r="E79" s="6">
        <f>IFERROR('Stock Data'!D80,"")</f>
        <v>0</v>
      </c>
      <c r="F79" s="7">
        <f>IFERROR('Stock Data'!K80,1)</f>
        <v>0</v>
      </c>
      <c r="G79" s="8">
        <f>IFERROR('Stock Data'!M80,0)</f>
        <v>0</v>
      </c>
      <c r="H79" s="8">
        <f>IFERROR('Stock Data'!L80,0.25)</f>
        <v>0</v>
      </c>
      <c r="I79" s="9">
        <v>0</v>
      </c>
      <c r="J79" s="10">
        <f>IFERROR('Stock Data'!N80,0.01)</f>
        <v>0</v>
      </c>
      <c r="K79" s="11">
        <f t="shared" si="2"/>
        <v>0</v>
      </c>
    </row>
    <row r="80" spans="4:11" x14ac:dyDescent="0.35">
      <c r="D80" s="5">
        <f>IFERROR('Stock Data'!B81,"")</f>
        <v>0</v>
      </c>
      <c r="E80" s="6">
        <f>IFERROR('Stock Data'!D81,"")</f>
        <v>0</v>
      </c>
      <c r="F80" s="7">
        <f>IFERROR('Stock Data'!K81,1)</f>
        <v>0</v>
      </c>
      <c r="G80" s="8">
        <f>IFERROR('Stock Data'!M81,0)</f>
        <v>0</v>
      </c>
      <c r="H80" s="8">
        <f>IFERROR('Stock Data'!L81,0.25)</f>
        <v>0</v>
      </c>
      <c r="I80" s="9">
        <v>0</v>
      </c>
      <c r="J80" s="10">
        <f>IFERROR('Stock Data'!N81,0.01)</f>
        <v>0</v>
      </c>
      <c r="K80" s="11">
        <f t="shared" si="2"/>
        <v>0</v>
      </c>
    </row>
    <row r="81" spans="4:11" x14ac:dyDescent="0.35">
      <c r="D81" s="5">
        <f>IFERROR('Stock Data'!B82,"")</f>
        <v>0</v>
      </c>
      <c r="E81" s="6">
        <f>IFERROR('Stock Data'!D82,"")</f>
        <v>0</v>
      </c>
      <c r="F81" s="7">
        <f>IFERROR('Stock Data'!K82,1)</f>
        <v>0</v>
      </c>
      <c r="G81" s="8">
        <f>IFERROR('Stock Data'!M82,0)</f>
        <v>0</v>
      </c>
      <c r="H81" s="8">
        <f>IFERROR('Stock Data'!L82,0.25)</f>
        <v>0</v>
      </c>
      <c r="I81" s="9">
        <v>0</v>
      </c>
      <c r="J81" s="10">
        <f>IFERROR('Stock Data'!N82,0.01)</f>
        <v>0</v>
      </c>
      <c r="K81" s="11">
        <f t="shared" si="2"/>
        <v>0</v>
      </c>
    </row>
    <row r="82" spans="4:11" x14ac:dyDescent="0.35">
      <c r="D82" s="5">
        <f>IFERROR('Stock Data'!B83,"")</f>
        <v>0</v>
      </c>
      <c r="E82" s="6">
        <f>IFERROR('Stock Data'!D83,"")</f>
        <v>0</v>
      </c>
      <c r="F82" s="7">
        <f>IFERROR('Stock Data'!K83,1)</f>
        <v>0</v>
      </c>
      <c r="G82" s="8">
        <f>IFERROR('Stock Data'!M83,0)</f>
        <v>0</v>
      </c>
      <c r="H82" s="8">
        <f>IFERROR('Stock Data'!L83,0.25)</f>
        <v>0</v>
      </c>
      <c r="I82" s="9">
        <v>0</v>
      </c>
      <c r="J82" s="10">
        <f>IFERROR('Stock Data'!N83,0.01)</f>
        <v>0</v>
      </c>
      <c r="K82" s="11">
        <f t="shared" si="2"/>
        <v>0</v>
      </c>
    </row>
    <row r="83" spans="4:11" x14ac:dyDescent="0.35">
      <c r="D83" s="5">
        <f>IFERROR('Stock Data'!B84,"")</f>
        <v>0</v>
      </c>
      <c r="E83" s="6">
        <f>IFERROR('Stock Data'!D84,"")</f>
        <v>0</v>
      </c>
      <c r="F83" s="7">
        <f>IFERROR('Stock Data'!K84,1)</f>
        <v>0</v>
      </c>
      <c r="G83" s="8">
        <f>IFERROR('Stock Data'!M84,0)</f>
        <v>0</v>
      </c>
      <c r="H83" s="8">
        <f>IFERROR('Stock Data'!L84,0.25)</f>
        <v>0</v>
      </c>
      <c r="I83" s="9">
        <v>0</v>
      </c>
      <c r="J83" s="10">
        <f>IFERROR('Stock Data'!N84,0.01)</f>
        <v>0</v>
      </c>
      <c r="K83" s="11">
        <f t="shared" si="2"/>
        <v>0</v>
      </c>
    </row>
    <row r="84" spans="4:11" x14ac:dyDescent="0.35">
      <c r="D84" s="5">
        <f>IFERROR('Stock Data'!B85,"")</f>
        <v>0</v>
      </c>
      <c r="E84" s="6">
        <f>IFERROR('Stock Data'!D85,"")</f>
        <v>0</v>
      </c>
      <c r="F84" s="7">
        <f>IFERROR('Stock Data'!K85,1)</f>
        <v>0</v>
      </c>
      <c r="G84" s="8">
        <f>IFERROR('Stock Data'!M85,0)</f>
        <v>0</v>
      </c>
      <c r="H84" s="8">
        <f>IFERROR('Stock Data'!L85,0.25)</f>
        <v>0</v>
      </c>
      <c r="I84" s="9">
        <v>0</v>
      </c>
      <c r="J84" s="10">
        <f>IFERROR('Stock Data'!N85,0.01)</f>
        <v>0</v>
      </c>
      <c r="K84" s="11">
        <f t="shared" si="2"/>
        <v>0</v>
      </c>
    </row>
    <row r="85" spans="4:11" x14ac:dyDescent="0.35">
      <c r="D85" s="5">
        <f>IFERROR('Stock Data'!B86,"")</f>
        <v>0</v>
      </c>
      <c r="E85" s="6">
        <f>IFERROR('Stock Data'!D86,"")</f>
        <v>0</v>
      </c>
      <c r="F85" s="7">
        <f>IFERROR('Stock Data'!K86,1)</f>
        <v>0</v>
      </c>
      <c r="G85" s="8">
        <f>IFERROR('Stock Data'!M86,0)</f>
        <v>0</v>
      </c>
      <c r="H85" s="8">
        <f>IFERROR('Stock Data'!L86,0.25)</f>
        <v>0</v>
      </c>
      <c r="I85" s="9">
        <v>0</v>
      </c>
      <c r="J85" s="10">
        <f>IFERROR('Stock Data'!N86,0.01)</f>
        <v>0</v>
      </c>
      <c r="K85" s="11">
        <f t="shared" si="2"/>
        <v>0</v>
      </c>
    </row>
    <row r="86" spans="4:11" x14ac:dyDescent="0.35">
      <c r="D86" s="5">
        <f>IFERROR('Stock Data'!B87,"")</f>
        <v>0</v>
      </c>
      <c r="E86" s="6">
        <f>IFERROR('Stock Data'!D87,"")</f>
        <v>0</v>
      </c>
      <c r="F86" s="7">
        <f>IFERROR('Stock Data'!K87,1)</f>
        <v>0</v>
      </c>
      <c r="G86" s="8">
        <f>IFERROR('Stock Data'!M87,0)</f>
        <v>0</v>
      </c>
      <c r="H86" s="8">
        <f>IFERROR('Stock Data'!L87,0.25)</f>
        <v>0</v>
      </c>
      <c r="I86" s="9">
        <v>0</v>
      </c>
      <c r="J86" s="10">
        <f>IFERROR('Stock Data'!N87,0.01)</f>
        <v>0</v>
      </c>
      <c r="K86" s="11">
        <f t="shared" si="2"/>
        <v>0</v>
      </c>
    </row>
    <row r="87" spans="4:11" x14ac:dyDescent="0.35">
      <c r="D87" s="5">
        <f>IFERROR('Stock Data'!B88,"")</f>
        <v>0</v>
      </c>
      <c r="E87" s="6">
        <f>IFERROR('Stock Data'!D88,"")</f>
        <v>0</v>
      </c>
      <c r="F87" s="7">
        <f>IFERROR('Stock Data'!K88,1)</f>
        <v>0</v>
      </c>
      <c r="G87" s="8">
        <f>IFERROR('Stock Data'!M88,0)</f>
        <v>0</v>
      </c>
      <c r="H87" s="8">
        <f>IFERROR('Stock Data'!L88,0.25)</f>
        <v>0</v>
      </c>
      <c r="I87" s="9">
        <v>0</v>
      </c>
      <c r="J87" s="10">
        <f>IFERROR('Stock Data'!N88,0.01)</f>
        <v>0</v>
      </c>
      <c r="K87" s="11">
        <f t="shared" si="2"/>
        <v>0</v>
      </c>
    </row>
    <row r="88" spans="4:11" x14ac:dyDescent="0.35">
      <c r="D88" s="5">
        <f>IFERROR('Stock Data'!B89,"")</f>
        <v>0</v>
      </c>
      <c r="E88" s="6">
        <f>IFERROR('Stock Data'!D89,"")</f>
        <v>0</v>
      </c>
      <c r="F88" s="7">
        <f>IFERROR('Stock Data'!K89,1)</f>
        <v>0</v>
      </c>
      <c r="G88" s="8">
        <f>IFERROR('Stock Data'!M89,0)</f>
        <v>0</v>
      </c>
      <c r="H88" s="8">
        <f>IFERROR('Stock Data'!L89,0.25)</f>
        <v>0</v>
      </c>
      <c r="I88" s="9">
        <v>0</v>
      </c>
      <c r="J88" s="10">
        <f>IFERROR('Stock Data'!N89,0.01)</f>
        <v>0</v>
      </c>
      <c r="K88" s="11">
        <f t="shared" si="2"/>
        <v>0</v>
      </c>
    </row>
    <row r="89" spans="4:11" x14ac:dyDescent="0.35">
      <c r="D89" s="5">
        <f>IFERROR('Stock Data'!B90,"")</f>
        <v>0</v>
      </c>
      <c r="E89" s="6">
        <f>IFERROR('Stock Data'!D90,"")</f>
        <v>0</v>
      </c>
      <c r="F89" s="7">
        <f>IFERROR('Stock Data'!K90,1)</f>
        <v>0</v>
      </c>
      <c r="G89" s="8">
        <f>IFERROR('Stock Data'!M90,0)</f>
        <v>0</v>
      </c>
      <c r="H89" s="8">
        <f>IFERROR('Stock Data'!L90,0.25)</f>
        <v>0</v>
      </c>
      <c r="I89" s="9">
        <v>0</v>
      </c>
      <c r="J89" s="10">
        <f>IFERROR('Stock Data'!N90,0.01)</f>
        <v>0</v>
      </c>
      <c r="K89" s="11">
        <f t="shared" si="2"/>
        <v>0</v>
      </c>
    </row>
    <row r="90" spans="4:11" x14ac:dyDescent="0.35">
      <c r="D90" s="5">
        <f>IFERROR('Stock Data'!B91,"")</f>
        <v>0</v>
      </c>
      <c r="E90" s="6">
        <f>IFERROR('Stock Data'!D91,"")</f>
        <v>0</v>
      </c>
      <c r="F90" s="7">
        <f>IFERROR('Stock Data'!K91,1)</f>
        <v>0</v>
      </c>
      <c r="G90" s="8">
        <f>IFERROR('Stock Data'!M91,0)</f>
        <v>0</v>
      </c>
      <c r="H90" s="8">
        <f>IFERROR('Stock Data'!L91,0.25)</f>
        <v>0</v>
      </c>
      <c r="I90" s="9">
        <v>0</v>
      </c>
      <c r="J90" s="10">
        <f>IFERROR('Stock Data'!N91,0.01)</f>
        <v>0</v>
      </c>
      <c r="K90" s="11">
        <f t="shared" si="2"/>
        <v>0</v>
      </c>
    </row>
    <row r="91" spans="4:11" x14ac:dyDescent="0.35">
      <c r="D91" s="5">
        <f>IFERROR('Stock Data'!B92,"")</f>
        <v>0</v>
      </c>
      <c r="E91" s="6">
        <f>IFERROR('Stock Data'!D92,"")</f>
        <v>0</v>
      </c>
      <c r="F91" s="7">
        <f>IFERROR('Stock Data'!K92,1)</f>
        <v>0</v>
      </c>
      <c r="G91" s="8">
        <f>IFERROR('Stock Data'!M92,0)</f>
        <v>0</v>
      </c>
      <c r="H91" s="8">
        <f>IFERROR('Stock Data'!L92,0.25)</f>
        <v>0</v>
      </c>
      <c r="I91" s="9">
        <v>0</v>
      </c>
      <c r="J91" s="10">
        <f>IFERROR('Stock Data'!N92,0.01)</f>
        <v>0</v>
      </c>
      <c r="K91" s="11">
        <f t="shared" si="2"/>
        <v>0</v>
      </c>
    </row>
    <row r="92" spans="4:11" x14ac:dyDescent="0.35">
      <c r="D92" s="5">
        <f>IFERROR('Stock Data'!B93,"")</f>
        <v>0</v>
      </c>
      <c r="E92" s="6">
        <f>IFERROR('Stock Data'!D93,"")</f>
        <v>0</v>
      </c>
      <c r="F92" s="7">
        <f>IFERROR('Stock Data'!K93,1)</f>
        <v>0</v>
      </c>
      <c r="G92" s="8">
        <f>IFERROR('Stock Data'!M93,0)</f>
        <v>0</v>
      </c>
      <c r="H92" s="8">
        <f>IFERROR('Stock Data'!L93,0.25)</f>
        <v>0</v>
      </c>
      <c r="I92" s="9">
        <v>0</v>
      </c>
      <c r="J92" s="10">
        <f>IFERROR('Stock Data'!N93,0.01)</f>
        <v>0</v>
      </c>
      <c r="K92" s="11">
        <f t="shared" si="2"/>
        <v>0</v>
      </c>
    </row>
    <row r="93" spans="4:11" x14ac:dyDescent="0.35">
      <c r="D93" s="5">
        <f>IFERROR('Stock Data'!B94,"")</f>
        <v>0</v>
      </c>
      <c r="E93" s="6">
        <f>IFERROR('Stock Data'!D94,"")</f>
        <v>0</v>
      </c>
      <c r="F93" s="7">
        <f>IFERROR('Stock Data'!K94,1)</f>
        <v>0</v>
      </c>
      <c r="G93" s="8">
        <f>IFERROR('Stock Data'!M94,0)</f>
        <v>0</v>
      </c>
      <c r="H93" s="8">
        <f>IFERROR('Stock Data'!L94,0.25)</f>
        <v>0</v>
      </c>
      <c r="I93" s="9">
        <v>0</v>
      </c>
      <c r="J93" s="10">
        <f>IFERROR('Stock Data'!N94,0.01)</f>
        <v>0</v>
      </c>
      <c r="K93" s="11">
        <f t="shared" si="2"/>
        <v>0</v>
      </c>
    </row>
    <row r="94" spans="4:11" x14ac:dyDescent="0.35">
      <c r="D94" s="5">
        <f>IFERROR('Stock Data'!B95,"")</f>
        <v>0</v>
      </c>
      <c r="E94" s="6">
        <f>IFERROR('Stock Data'!D95,"")</f>
        <v>0</v>
      </c>
      <c r="F94" s="7">
        <f>IFERROR('Stock Data'!K95,1)</f>
        <v>0</v>
      </c>
      <c r="G94" s="8">
        <f>IFERROR('Stock Data'!M95,0)</f>
        <v>0</v>
      </c>
      <c r="H94" s="8">
        <f>IFERROR('Stock Data'!L95,0.25)</f>
        <v>0</v>
      </c>
      <c r="I94" s="9">
        <v>0</v>
      </c>
      <c r="J94" s="10">
        <f>IFERROR('Stock Data'!N95,0.01)</f>
        <v>0</v>
      </c>
      <c r="K94" s="11">
        <f t="shared" si="2"/>
        <v>0</v>
      </c>
    </row>
    <row r="95" spans="4:11" x14ac:dyDescent="0.35">
      <c r="D95" s="5">
        <f>IFERROR('Stock Data'!B96,"")</f>
        <v>0</v>
      </c>
      <c r="E95" s="6">
        <f>IFERROR('Stock Data'!D96,"")</f>
        <v>0</v>
      </c>
      <c r="F95" s="7">
        <f>IFERROR('Stock Data'!K96,1)</f>
        <v>0</v>
      </c>
      <c r="G95" s="8">
        <f>IFERROR('Stock Data'!M96,0)</f>
        <v>0</v>
      </c>
      <c r="H95" s="8">
        <f>IFERROR('Stock Data'!L96,0.25)</f>
        <v>0</v>
      </c>
      <c r="I95" s="9">
        <v>0</v>
      </c>
      <c r="J95" s="10">
        <f>IFERROR('Stock Data'!N96,0.01)</f>
        <v>0</v>
      </c>
      <c r="K95" s="11">
        <f t="shared" si="2"/>
        <v>0</v>
      </c>
    </row>
    <row r="96" spans="4:11" x14ac:dyDescent="0.35">
      <c r="D96" s="5">
        <f>IFERROR('Stock Data'!B97,"")</f>
        <v>0</v>
      </c>
      <c r="E96" s="6">
        <f>IFERROR('Stock Data'!D97,"")</f>
        <v>0</v>
      </c>
      <c r="F96" s="7">
        <f>IFERROR('Stock Data'!K97,1)</f>
        <v>0</v>
      </c>
      <c r="G96" s="8">
        <f>IFERROR('Stock Data'!M97,0)</f>
        <v>0</v>
      </c>
      <c r="H96" s="8">
        <f>IFERROR('Stock Data'!L97,0.25)</f>
        <v>0</v>
      </c>
      <c r="I96" s="9">
        <v>0</v>
      </c>
      <c r="J96" s="10">
        <f>IFERROR('Stock Data'!N97,0.01)</f>
        <v>0</v>
      </c>
      <c r="K96" s="11">
        <f t="shared" si="2"/>
        <v>0</v>
      </c>
    </row>
    <row r="97" spans="4:11" x14ac:dyDescent="0.35">
      <c r="D97" s="5">
        <f>IFERROR('Stock Data'!B98,"")</f>
        <v>0</v>
      </c>
      <c r="E97" s="6">
        <f>IFERROR('Stock Data'!D98,"")</f>
        <v>0</v>
      </c>
      <c r="F97" s="7">
        <f>IFERROR('Stock Data'!K98,1)</f>
        <v>0</v>
      </c>
      <c r="G97" s="8">
        <f>IFERROR('Stock Data'!M98,0)</f>
        <v>0</v>
      </c>
      <c r="H97" s="8">
        <f>IFERROR('Stock Data'!L98,0.25)</f>
        <v>0</v>
      </c>
      <c r="I97" s="9">
        <v>0</v>
      </c>
      <c r="J97" s="10">
        <f>IFERROR('Stock Data'!N98,0.01)</f>
        <v>0</v>
      </c>
      <c r="K97" s="11">
        <f t="shared" si="2"/>
        <v>0</v>
      </c>
    </row>
    <row r="98" spans="4:11" x14ac:dyDescent="0.35">
      <c r="D98" s="5">
        <f>IFERROR('Stock Data'!B99,"")</f>
        <v>0</v>
      </c>
      <c r="E98" s="6">
        <f>IFERROR('Stock Data'!D99,"")</f>
        <v>0</v>
      </c>
      <c r="F98" s="7">
        <f>IFERROR('Stock Data'!K99,1)</f>
        <v>0</v>
      </c>
      <c r="G98" s="8">
        <f>IFERROR('Stock Data'!M99,0)</f>
        <v>0</v>
      </c>
      <c r="H98" s="8">
        <f>IFERROR('Stock Data'!L99,0.25)</f>
        <v>0</v>
      </c>
      <c r="I98" s="9">
        <v>0</v>
      </c>
      <c r="J98" s="10">
        <f>IFERROR('Stock Data'!N99,0.01)</f>
        <v>0</v>
      </c>
      <c r="K98" s="11">
        <f t="shared" ref="K98:K129" si="3">I98-J98</f>
        <v>0</v>
      </c>
    </row>
    <row r="99" spans="4:11" x14ac:dyDescent="0.35">
      <c r="D99" s="5">
        <f>IFERROR('Stock Data'!B100,"")</f>
        <v>0</v>
      </c>
      <c r="E99" s="6">
        <f>IFERROR('Stock Data'!D100,"")</f>
        <v>0</v>
      </c>
      <c r="F99" s="7">
        <f>IFERROR('Stock Data'!K100,1)</f>
        <v>0</v>
      </c>
      <c r="G99" s="8">
        <f>IFERROR('Stock Data'!M100,0)</f>
        <v>0</v>
      </c>
      <c r="H99" s="8">
        <f>IFERROR('Stock Data'!L100,0.25)</f>
        <v>0</v>
      </c>
      <c r="I99" s="9">
        <v>0</v>
      </c>
      <c r="J99" s="10">
        <f>IFERROR('Stock Data'!N100,0.01)</f>
        <v>0</v>
      </c>
      <c r="K99" s="11">
        <f t="shared" si="3"/>
        <v>0</v>
      </c>
    </row>
    <row r="100" spans="4:11" x14ac:dyDescent="0.35">
      <c r="D100" s="5">
        <f>IFERROR('Stock Data'!B101,"")</f>
        <v>0</v>
      </c>
      <c r="E100" s="6">
        <f>IFERROR('Stock Data'!D101,"")</f>
        <v>0</v>
      </c>
      <c r="F100" s="7">
        <f>IFERROR('Stock Data'!K101,1)</f>
        <v>0</v>
      </c>
      <c r="G100" s="8">
        <f>IFERROR('Stock Data'!M101,0)</f>
        <v>0</v>
      </c>
      <c r="H100" s="8">
        <f>IFERROR('Stock Data'!L101,0.25)</f>
        <v>0</v>
      </c>
      <c r="I100" s="9">
        <v>0</v>
      </c>
      <c r="J100" s="10">
        <f>IFERROR('Stock Data'!N101,0.01)</f>
        <v>0</v>
      </c>
      <c r="K100" s="11">
        <f t="shared" si="3"/>
        <v>0</v>
      </c>
    </row>
    <row r="101" spans="4:11" x14ac:dyDescent="0.35">
      <c r="D101" s="5">
        <f>IFERROR('Stock Data'!B102,"")</f>
        <v>0</v>
      </c>
      <c r="E101" s="6">
        <f>IFERROR('Stock Data'!D102,"")</f>
        <v>0</v>
      </c>
      <c r="F101" s="7">
        <f>IFERROR('Stock Data'!K102,1)</f>
        <v>0</v>
      </c>
      <c r="G101" s="8">
        <f>IFERROR('Stock Data'!M102,0)</f>
        <v>0</v>
      </c>
      <c r="H101" s="8">
        <f>IFERROR('Stock Data'!L102,0.25)</f>
        <v>0</v>
      </c>
      <c r="I101" s="9">
        <v>0</v>
      </c>
      <c r="J101" s="10">
        <f>IFERROR('Stock Data'!N102,0.01)</f>
        <v>0</v>
      </c>
      <c r="K101" s="11">
        <f t="shared" si="3"/>
        <v>0</v>
      </c>
    </row>
    <row r="102" spans="4:11" x14ac:dyDescent="0.35">
      <c r="D102" s="18" t="s">
        <v>113</v>
      </c>
      <c r="I102" s="19">
        <f>SUM(I2:I101)</f>
        <v>0.99999999999999445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3"/>
  <sheetViews>
    <sheetView tabSelected="1" workbookViewId="0">
      <selection activeCell="C6" sqref="C6"/>
    </sheetView>
  </sheetViews>
  <sheetFormatPr defaultRowHeight="14.5" x14ac:dyDescent="0.35"/>
  <cols>
    <col min="1" max="1" width="22" customWidth="1"/>
    <col min="2" max="2" width="10" customWidth="1"/>
    <col min="3" max="3" width="12" customWidth="1"/>
    <col min="4" max="5" width="10" customWidth="1"/>
  </cols>
  <sheetData>
    <row r="1" spans="1:5" ht="23.5" customHeight="1" x14ac:dyDescent="0.55000000000000004">
      <c r="A1" s="1" t="s">
        <v>114</v>
      </c>
    </row>
    <row r="3" spans="1:5" ht="15.5" customHeight="1" x14ac:dyDescent="0.35">
      <c r="A3" s="20" t="s">
        <v>115</v>
      </c>
    </row>
    <row r="5" spans="1:5" x14ac:dyDescent="0.35">
      <c r="A5" s="3" t="s">
        <v>116</v>
      </c>
      <c r="B5" s="3" t="s">
        <v>117</v>
      </c>
      <c r="C5" s="3" t="s">
        <v>118</v>
      </c>
      <c r="D5" s="3" t="s">
        <v>119</v>
      </c>
      <c r="E5" s="3" t="s">
        <v>120</v>
      </c>
    </row>
    <row r="6" spans="1:5" x14ac:dyDescent="0.35">
      <c r="A6" t="s">
        <v>121</v>
      </c>
      <c r="B6" t="s">
        <v>122</v>
      </c>
      <c r="C6" s="13">
        <v>0.05</v>
      </c>
      <c r="D6" t="s">
        <v>123</v>
      </c>
      <c r="E6" t="str">
        <f>IF(C6&gt;=0.05,"✓","⚠️")</f>
        <v>✓</v>
      </c>
    </row>
    <row r="7" spans="1:5" x14ac:dyDescent="0.35">
      <c r="A7" t="s">
        <v>124</v>
      </c>
      <c r="B7" t="s">
        <v>125</v>
      </c>
      <c r="C7" s="21">
        <f>Optimization!B14</f>
        <v>25</v>
      </c>
      <c r="D7" t="s">
        <v>126</v>
      </c>
      <c r="E7" t="str">
        <f>IF(C7&gt;=100,"✓","⚠️")</f>
        <v>⚠️</v>
      </c>
    </row>
    <row r="8" spans="1:5" x14ac:dyDescent="0.35">
      <c r="A8" t="s">
        <v>127</v>
      </c>
      <c r="B8" t="s">
        <v>128</v>
      </c>
      <c r="C8" s="13">
        <v>1</v>
      </c>
      <c r="D8" t="s">
        <v>129</v>
      </c>
      <c r="E8" t="str">
        <f>IF(C8&gt;=0.8,"✓","⚠️")</f>
        <v>✓</v>
      </c>
    </row>
    <row r="9" spans="1:5" x14ac:dyDescent="0.35">
      <c r="A9" t="s">
        <v>130</v>
      </c>
      <c r="B9" t="s">
        <v>131</v>
      </c>
      <c r="C9" s="21">
        <f>IFERROR(C6*SQRT(C7)*C8,0)</f>
        <v>0.25</v>
      </c>
      <c r="D9" t="s">
        <v>132</v>
      </c>
      <c r="E9" t="str">
        <f>IF(C9&gt;=0.5,"✓","⚠️")</f>
        <v>⚠️</v>
      </c>
    </row>
    <row r="10" spans="1:5" x14ac:dyDescent="0.35">
      <c r="A10" t="s">
        <v>133</v>
      </c>
      <c r="B10" t="s">
        <v>134</v>
      </c>
      <c r="C10" s="21">
        <f>Optimization!B18</f>
        <v>0.54284281985053773</v>
      </c>
      <c r="D10" t="s">
        <v>135</v>
      </c>
      <c r="E10" t="str">
        <f>IF(C10&gt;=0.3,"✓","⚠️")</f>
        <v>✓</v>
      </c>
    </row>
    <row r="13" spans="1:5" x14ac:dyDescent="0.35">
      <c r="A13" s="22" t="s">
        <v>136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1"/>
  <sheetViews>
    <sheetView workbookViewId="0">
      <selection activeCell="B7" sqref="B7"/>
    </sheetView>
  </sheetViews>
  <sheetFormatPr defaultRowHeight="14.5" x14ac:dyDescent="0.35"/>
  <cols>
    <col min="1" max="1" width="20" customWidth="1"/>
    <col min="2" max="2" width="15" customWidth="1"/>
  </cols>
  <sheetData>
    <row r="1" spans="1:2" ht="23.5" customHeight="1" x14ac:dyDescent="0.55000000000000004">
      <c r="A1" s="1" t="s">
        <v>137</v>
      </c>
    </row>
    <row r="3" spans="1:2" x14ac:dyDescent="0.35">
      <c r="A3" s="12" t="s">
        <v>138</v>
      </c>
    </row>
    <row r="4" spans="1:2" x14ac:dyDescent="0.35">
      <c r="A4" t="s">
        <v>139</v>
      </c>
      <c r="B4" s="21">
        <f>Optimization!B12</f>
        <v>1.0579251520908921</v>
      </c>
    </row>
    <row r="5" spans="1:2" x14ac:dyDescent="0.35">
      <c r="A5" t="s">
        <v>112</v>
      </c>
      <c r="B5" s="21">
        <f>Optimization!B18</f>
        <v>0.54284281985053773</v>
      </c>
    </row>
    <row r="6" spans="1:2" x14ac:dyDescent="0.35">
      <c r="A6" t="s">
        <v>33</v>
      </c>
      <c r="B6" s="23">
        <f>Optimization!B9</f>
        <v>0.18332269618410946</v>
      </c>
    </row>
    <row r="7" spans="1:2" x14ac:dyDescent="0.35">
      <c r="A7" t="s">
        <v>104</v>
      </c>
      <c r="B7" s="23">
        <f>Optimization!B10</f>
        <v>0.13453002407856707</v>
      </c>
    </row>
    <row r="8" spans="1:2" x14ac:dyDescent="0.35">
      <c r="A8" t="s">
        <v>111</v>
      </c>
      <c r="B8" s="23">
        <f>Optimization!B17</f>
        <v>0.1332295344792849</v>
      </c>
    </row>
    <row r="9" spans="1:2" x14ac:dyDescent="0.35">
      <c r="A9" t="s">
        <v>107</v>
      </c>
      <c r="B9" s="21">
        <f>Optimization!B13</f>
        <v>0.88318018827020084</v>
      </c>
    </row>
    <row r="10" spans="1:2" x14ac:dyDescent="0.35">
      <c r="A10" t="s">
        <v>140</v>
      </c>
      <c r="B10" s="24">
        <f>Optimization!B14</f>
        <v>25</v>
      </c>
    </row>
    <row r="11" spans="1:2" x14ac:dyDescent="0.35">
      <c r="A11" t="s">
        <v>141</v>
      </c>
      <c r="B11" s="21">
        <f>'G&amp;K Analytics'!C9</f>
        <v>0.25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26"/>
  <sheetViews>
    <sheetView workbookViewId="0">
      <selection activeCell="M36" sqref="M36"/>
    </sheetView>
  </sheetViews>
  <sheetFormatPr defaultRowHeight="14.5" x14ac:dyDescent="0.35"/>
  <sheetData>
    <row r="1" spans="1:26" x14ac:dyDescent="0.35">
      <c r="B1" s="25" t="s">
        <v>36</v>
      </c>
      <c r="C1" s="25" t="s">
        <v>39</v>
      </c>
      <c r="D1" s="25" t="s">
        <v>42</v>
      </c>
      <c r="E1" s="25" t="s">
        <v>44</v>
      </c>
      <c r="F1" s="25" t="s">
        <v>47</v>
      </c>
      <c r="G1" s="25" t="s">
        <v>50</v>
      </c>
      <c r="H1" s="25" t="s">
        <v>53</v>
      </c>
      <c r="I1" s="25" t="s">
        <v>55</v>
      </c>
      <c r="J1" s="25" t="s">
        <v>57</v>
      </c>
      <c r="K1" s="25" t="s">
        <v>59</v>
      </c>
      <c r="L1" s="25" t="s">
        <v>61</v>
      </c>
      <c r="M1" s="25" t="s">
        <v>63</v>
      </c>
      <c r="N1" s="25" t="s">
        <v>65</v>
      </c>
      <c r="O1" s="25" t="s">
        <v>67</v>
      </c>
      <c r="P1" s="25" t="s">
        <v>69</v>
      </c>
      <c r="Q1" s="25" t="s">
        <v>71</v>
      </c>
      <c r="R1" s="25" t="s">
        <v>74</v>
      </c>
      <c r="S1" s="25" t="s">
        <v>77</v>
      </c>
      <c r="T1" s="25" t="s">
        <v>79</v>
      </c>
      <c r="U1" s="25" t="s">
        <v>81</v>
      </c>
      <c r="V1" s="25" t="s">
        <v>83</v>
      </c>
      <c r="W1" s="25" t="s">
        <v>85</v>
      </c>
      <c r="X1" s="25" t="s">
        <v>87</v>
      </c>
      <c r="Y1" s="25" t="s">
        <v>89</v>
      </c>
      <c r="Z1" s="25" t="s">
        <v>91</v>
      </c>
    </row>
    <row r="2" spans="1:26" x14ac:dyDescent="0.35">
      <c r="A2" s="25" t="s">
        <v>36</v>
      </c>
      <c r="B2">
        <v>9.7364287343123496E-2</v>
      </c>
      <c r="C2">
        <v>1.00620876489496E-2</v>
      </c>
      <c r="D2">
        <v>-5.5704333385439998E-3</v>
      </c>
      <c r="E2">
        <v>-2.5135212754934001E-3</v>
      </c>
      <c r="F2">
        <v>6.7497174279568996E-3</v>
      </c>
      <c r="G2">
        <v>-6.1664361408952E-3</v>
      </c>
      <c r="H2">
        <v>7.9682631162596006E-3</v>
      </c>
      <c r="I2">
        <v>1.2953935924059999E-4</v>
      </c>
      <c r="J2">
        <v>2.9905249956426402E-2</v>
      </c>
      <c r="K2">
        <v>3.6203296799993002E-3</v>
      </c>
      <c r="L2">
        <v>1.3800247884965301E-2</v>
      </c>
      <c r="M2">
        <v>1.0312324201537E-3</v>
      </c>
      <c r="N2">
        <v>4.0103303499080901E-2</v>
      </c>
      <c r="O2">
        <v>1.6747937456410698E-2</v>
      </c>
      <c r="P2">
        <v>1.75862172914759E-2</v>
      </c>
      <c r="Q2">
        <v>-1.35863929247729E-2</v>
      </c>
      <c r="R2">
        <v>4.1592659779654498E-2</v>
      </c>
      <c r="S2">
        <v>2.7215854774498001E-3</v>
      </c>
      <c r="T2">
        <v>4.2093337293311002E-2</v>
      </c>
      <c r="U2">
        <v>9.3134513232441003E-3</v>
      </c>
      <c r="V2">
        <v>2.60934601958152E-2</v>
      </c>
      <c r="W2">
        <v>2.2693075311535801E-2</v>
      </c>
      <c r="X2">
        <v>9.2135663748910005E-4</v>
      </c>
      <c r="Y2">
        <v>1.68856731268427E-2</v>
      </c>
      <c r="Z2">
        <v>2.1030324870017901E-2</v>
      </c>
    </row>
    <row r="3" spans="1:26" x14ac:dyDescent="0.35">
      <c r="A3" s="25" t="s">
        <v>39</v>
      </c>
      <c r="B3">
        <v>1.00620876489496E-2</v>
      </c>
      <c r="C3">
        <v>0.12758253905508429</v>
      </c>
      <c r="D3">
        <v>-1.66139135023263E-2</v>
      </c>
      <c r="E3">
        <v>1.28123977246489E-2</v>
      </c>
      <c r="F3">
        <v>2.2553517869303999E-2</v>
      </c>
      <c r="G3">
        <v>1.2392717826435499E-2</v>
      </c>
      <c r="H3">
        <v>1.1816281059635199E-2</v>
      </c>
      <c r="I3">
        <v>1.4376587695335801E-2</v>
      </c>
      <c r="J3">
        <v>2.9606967606612501E-2</v>
      </c>
      <c r="K3">
        <v>2.0327363312777701E-2</v>
      </c>
      <c r="L3">
        <v>3.0361198269892298E-2</v>
      </c>
      <c r="M3">
        <v>-1.8004278804413701E-2</v>
      </c>
      <c r="N3">
        <v>-7.3952881056230004E-4</v>
      </c>
      <c r="O3">
        <v>1.6816464420092801E-2</v>
      </c>
      <c r="P3">
        <v>9.5464588054855002E-3</v>
      </c>
      <c r="Q3">
        <v>-2.053514468247E-3</v>
      </c>
      <c r="R3">
        <v>1.99812850688619E-2</v>
      </c>
      <c r="S3">
        <v>1.5961458005357799E-2</v>
      </c>
      <c r="T3">
        <v>3.08499756976814E-2</v>
      </c>
      <c r="U3">
        <v>1.4434603550860301E-2</v>
      </c>
      <c r="V3">
        <v>-3.6478012824385998E-3</v>
      </c>
      <c r="W3">
        <v>1.7407865446265498E-2</v>
      </c>
      <c r="X3">
        <v>1.7026075890745802E-2</v>
      </c>
      <c r="Y3">
        <v>1.756723294082E-4</v>
      </c>
      <c r="Z3">
        <v>2.4888798196587202E-2</v>
      </c>
    </row>
    <row r="4" spans="1:26" x14ac:dyDescent="0.35">
      <c r="A4" s="25" t="s">
        <v>42</v>
      </c>
      <c r="B4">
        <v>-5.5704333385439998E-3</v>
      </c>
      <c r="C4">
        <v>-1.66139135023263E-2</v>
      </c>
      <c r="D4">
        <v>0.33977545777103552</v>
      </c>
      <c r="E4">
        <v>3.0768241434261999E-3</v>
      </c>
      <c r="F4">
        <v>-1.01482557266567E-2</v>
      </c>
      <c r="G4">
        <v>2.2666453142616001E-3</v>
      </c>
      <c r="H4">
        <v>5.2506204372382799E-2</v>
      </c>
      <c r="I4">
        <v>3.2109140535613999E-2</v>
      </c>
      <c r="J4">
        <v>1.855199317595E-4</v>
      </c>
      <c r="K4">
        <v>-1.26356595037259E-2</v>
      </c>
      <c r="L4">
        <v>-2.2515328218361999E-3</v>
      </c>
      <c r="M4">
        <v>1.6302339516872901E-2</v>
      </c>
      <c r="N4">
        <v>8.4857527822123999E-3</v>
      </c>
      <c r="O4">
        <v>3.9003756124719002E-3</v>
      </c>
      <c r="P4">
        <v>1.51126350352567E-2</v>
      </c>
      <c r="Q4">
        <v>-2.9361354788234668E-5</v>
      </c>
      <c r="R4">
        <v>1.5975915065241299E-2</v>
      </c>
      <c r="S4">
        <v>-2.2755246659743E-2</v>
      </c>
      <c r="T4">
        <v>4.4989327266778999E-3</v>
      </c>
      <c r="U4">
        <v>9.9746291535818994E-3</v>
      </c>
      <c r="V4">
        <v>-1.6858739576684999E-2</v>
      </c>
      <c r="W4">
        <v>-1.1128637253243701E-2</v>
      </c>
      <c r="X4">
        <v>4.3120208166314601E-2</v>
      </c>
      <c r="Y4">
        <v>-1.3992896049524999E-3</v>
      </c>
      <c r="Z4">
        <v>2.1138389320096599E-2</v>
      </c>
    </row>
    <row r="5" spans="1:26" x14ac:dyDescent="0.35">
      <c r="A5" s="25" t="s">
        <v>44</v>
      </c>
      <c r="B5">
        <v>-2.5135212754934001E-3</v>
      </c>
      <c r="C5">
        <v>1.28123977246489E-2</v>
      </c>
      <c r="D5">
        <v>3.0768241434261999E-3</v>
      </c>
      <c r="E5">
        <v>6.2264512730986397E-2</v>
      </c>
      <c r="F5">
        <v>2.63023695117084E-2</v>
      </c>
      <c r="G5">
        <v>2.2040760933814799E-2</v>
      </c>
      <c r="H5">
        <v>1.4110573902186299E-2</v>
      </c>
      <c r="I5">
        <v>9.4492469369159005E-3</v>
      </c>
      <c r="J5">
        <v>1.6077223912854498E-2</v>
      </c>
      <c r="K5">
        <v>5.6110891440857097E-2</v>
      </c>
      <c r="L5">
        <v>6.4372103542857002E-3</v>
      </c>
      <c r="M5">
        <v>-4.5449363616299998E-4</v>
      </c>
      <c r="N5">
        <v>4.6532764859470603E-2</v>
      </c>
      <c r="O5">
        <v>9.2005288556329997E-3</v>
      </c>
      <c r="P5">
        <v>2.3110741138749901E-2</v>
      </c>
      <c r="Q5">
        <v>-2.8712883964435E-3</v>
      </c>
      <c r="R5">
        <v>6.0432174266127998E-3</v>
      </c>
      <c r="S5">
        <v>2.559485161873E-3</v>
      </c>
      <c r="T5">
        <v>3.26757494358536E-2</v>
      </c>
      <c r="U5">
        <v>9.5469697581117997E-3</v>
      </c>
      <c r="V5">
        <v>2.6133410218293698E-2</v>
      </c>
      <c r="W5">
        <v>2.0962839519056399E-2</v>
      </c>
      <c r="X5">
        <v>1.9009916306354999E-2</v>
      </c>
      <c r="Y5">
        <v>1.3817213547437999E-3</v>
      </c>
      <c r="Z5">
        <v>2.2442162380407599E-2</v>
      </c>
    </row>
    <row r="6" spans="1:26" x14ac:dyDescent="0.35">
      <c r="A6" s="25" t="s">
        <v>47</v>
      </c>
      <c r="B6">
        <v>6.7497174279568996E-3</v>
      </c>
      <c r="C6">
        <v>2.2553517869303999E-2</v>
      </c>
      <c r="D6">
        <v>-1.01482557266567E-2</v>
      </c>
      <c r="E6">
        <v>2.63023695117084E-2</v>
      </c>
      <c r="F6">
        <v>0.1917479637746575</v>
      </c>
      <c r="G6">
        <v>2.8530264178095201E-2</v>
      </c>
      <c r="H6">
        <v>1.48389529742405E-2</v>
      </c>
      <c r="I6">
        <v>1.8919548671757401E-2</v>
      </c>
      <c r="J6">
        <v>1.8216987002877799E-2</v>
      </c>
      <c r="K6">
        <v>3.7980966881446199E-2</v>
      </c>
      <c r="L6">
        <v>9.9352131279465006E-3</v>
      </c>
      <c r="M6">
        <v>1.17077119789969E-2</v>
      </c>
      <c r="N6">
        <v>5.5422475016517099E-2</v>
      </c>
      <c r="O6">
        <v>4.4264625838635E-3</v>
      </c>
      <c r="P6">
        <v>3.1887011896532799E-2</v>
      </c>
      <c r="Q6">
        <v>5.1934909988077997E-3</v>
      </c>
      <c r="R6">
        <v>1.2157109539363799E-2</v>
      </c>
      <c r="S6">
        <v>1.5130620439163399E-2</v>
      </c>
      <c r="T6">
        <v>5.21674475498623E-2</v>
      </c>
      <c r="U6">
        <v>1.2323229931049701E-2</v>
      </c>
      <c r="V6">
        <v>3.5486366264279999E-2</v>
      </c>
      <c r="W6">
        <v>3.0242406799696499E-2</v>
      </c>
      <c r="X6">
        <v>4.1594342755332997E-2</v>
      </c>
      <c r="Y6">
        <v>1.1341823056250901E-2</v>
      </c>
      <c r="Z6">
        <v>2.4907043743023799E-2</v>
      </c>
    </row>
    <row r="7" spans="1:26" x14ac:dyDescent="0.35">
      <c r="A7" s="25" t="s">
        <v>50</v>
      </c>
      <c r="B7">
        <v>-6.1664361408952E-3</v>
      </c>
      <c r="C7">
        <v>1.2392717826435499E-2</v>
      </c>
      <c r="D7">
        <v>2.2666453142616001E-3</v>
      </c>
      <c r="E7">
        <v>2.2040760933814799E-2</v>
      </c>
      <c r="F7">
        <v>2.8530264178095201E-2</v>
      </c>
      <c r="G7">
        <v>0.1745236818984485</v>
      </c>
      <c r="H7">
        <v>9.7253583930149001E-3</v>
      </c>
      <c r="I7">
        <v>1.36084616053277E-2</v>
      </c>
      <c r="J7">
        <v>8.4861236864243999E-3</v>
      </c>
      <c r="K7">
        <v>3.2917760370426999E-2</v>
      </c>
      <c r="L7">
        <v>-4.8957510051067998E-3</v>
      </c>
      <c r="M7">
        <v>1.5352385716362099E-2</v>
      </c>
      <c r="N7">
        <v>3.1908282374799299E-2</v>
      </c>
      <c r="O7">
        <v>-8.8724247482199997E-4</v>
      </c>
      <c r="P7">
        <v>1.4679665850828E-2</v>
      </c>
      <c r="Q7">
        <v>8.4101621450319002E-3</v>
      </c>
      <c r="R7">
        <v>1.5975364854749399E-2</v>
      </c>
      <c r="S7">
        <v>1.7489261183920701E-2</v>
      </c>
      <c r="T7">
        <v>1.9647522451964199E-2</v>
      </c>
      <c r="U7">
        <v>5.943248670525E-3</v>
      </c>
      <c r="V7">
        <v>7.3177462344657003E-3</v>
      </c>
      <c r="W7">
        <v>-4.0745920498565001E-3</v>
      </c>
      <c r="X7">
        <v>3.2272221416377402E-2</v>
      </c>
      <c r="Y7">
        <v>1.1219602601251899E-2</v>
      </c>
      <c r="Z7">
        <v>2.0297247981146999E-3</v>
      </c>
    </row>
    <row r="8" spans="1:26" x14ac:dyDescent="0.35">
      <c r="A8" s="25" t="s">
        <v>53</v>
      </c>
      <c r="B8">
        <v>7.9682631162596006E-3</v>
      </c>
      <c r="C8">
        <v>1.1816281059635199E-2</v>
      </c>
      <c r="D8">
        <v>5.2506204372382799E-2</v>
      </c>
      <c r="E8">
        <v>1.4110573902186299E-2</v>
      </c>
      <c r="F8">
        <v>1.48389529742405E-2</v>
      </c>
      <c r="G8">
        <v>9.7253583930149001E-3</v>
      </c>
      <c r="H8">
        <v>0.10789119872912641</v>
      </c>
      <c r="I8">
        <v>2.1831916698104602E-2</v>
      </c>
      <c r="J8">
        <v>1.04637423413729E-2</v>
      </c>
      <c r="K8">
        <v>1.9750041994299101E-2</v>
      </c>
      <c r="L8">
        <v>1.1024101161882001E-2</v>
      </c>
      <c r="M8">
        <v>-1.6851406013355999E-3</v>
      </c>
      <c r="N8">
        <v>9.4998266374649997E-4</v>
      </c>
      <c r="O8">
        <v>1.0236807520560101E-2</v>
      </c>
      <c r="P8">
        <v>1.93539093670963E-2</v>
      </c>
      <c r="Q8">
        <v>6.7949608052601997E-3</v>
      </c>
      <c r="R8">
        <v>2.18390044755081E-2</v>
      </c>
      <c r="S8">
        <v>5.3908335284669998E-4</v>
      </c>
      <c r="T8">
        <v>1.39105914002489E-2</v>
      </c>
      <c r="U8">
        <v>9.7230853288529998E-3</v>
      </c>
      <c r="V8">
        <v>2.0908525825336002E-3</v>
      </c>
      <c r="W8">
        <v>8.0242624081989008E-3</v>
      </c>
      <c r="X8">
        <v>3.0144010631600399E-2</v>
      </c>
      <c r="Y8">
        <v>-1.9969173031030001E-3</v>
      </c>
      <c r="Z8">
        <v>4.2981990189699002E-3</v>
      </c>
    </row>
    <row r="9" spans="1:26" x14ac:dyDescent="0.35">
      <c r="A9" s="25" t="s">
        <v>55</v>
      </c>
      <c r="B9">
        <v>1.2953935924059999E-4</v>
      </c>
      <c r="C9">
        <v>1.4376587695335801E-2</v>
      </c>
      <c r="D9">
        <v>3.2109140535613999E-2</v>
      </c>
      <c r="E9">
        <v>9.4492469369159005E-3</v>
      </c>
      <c r="F9">
        <v>1.8919548671757401E-2</v>
      </c>
      <c r="G9">
        <v>1.36084616053277E-2</v>
      </c>
      <c r="H9">
        <v>2.1831916698104602E-2</v>
      </c>
      <c r="I9">
        <v>5.33946764078626E-2</v>
      </c>
      <c r="J9">
        <v>1.1545239970393599E-2</v>
      </c>
      <c r="K9">
        <v>1.5874923357457101E-2</v>
      </c>
      <c r="L9">
        <v>9.5048883827784994E-3</v>
      </c>
      <c r="M9">
        <v>-2.54019414515292E-2</v>
      </c>
      <c r="N9">
        <v>1.2622114246770901E-2</v>
      </c>
      <c r="O9">
        <v>7.3120892033873997E-3</v>
      </c>
      <c r="P9">
        <v>1.47043073381289E-2</v>
      </c>
      <c r="Q9">
        <v>7.7031945242377001E-3</v>
      </c>
      <c r="R9">
        <v>1.3045400656772001E-3</v>
      </c>
      <c r="S9">
        <v>4.5793026515862003E-3</v>
      </c>
      <c r="T9">
        <v>3.4688282367578999E-3</v>
      </c>
      <c r="U9">
        <v>1.4441074451653499E-2</v>
      </c>
      <c r="V9">
        <v>-1.6151077237620999E-3</v>
      </c>
      <c r="W9">
        <v>6.4739676864198104E-5</v>
      </c>
      <c r="X9">
        <v>2.6942438593753001E-2</v>
      </c>
      <c r="Y9">
        <v>1.01578867032249E-2</v>
      </c>
      <c r="Z9">
        <v>-4.3377705204707996E-3</v>
      </c>
    </row>
    <row r="10" spans="1:26" x14ac:dyDescent="0.35">
      <c r="A10" s="25" t="s">
        <v>57</v>
      </c>
      <c r="B10">
        <v>2.9905249956426402E-2</v>
      </c>
      <c r="C10">
        <v>2.9606967606612501E-2</v>
      </c>
      <c r="D10">
        <v>1.855199317595E-4</v>
      </c>
      <c r="E10">
        <v>1.6077223912854498E-2</v>
      </c>
      <c r="F10">
        <v>1.8216987002877799E-2</v>
      </c>
      <c r="G10">
        <v>8.4861236864243999E-3</v>
      </c>
      <c r="H10">
        <v>1.04637423413729E-2</v>
      </c>
      <c r="I10">
        <v>1.1545239970393599E-2</v>
      </c>
      <c r="J10">
        <v>8.1173025447910094E-2</v>
      </c>
      <c r="K10">
        <v>2.5658925225009298E-2</v>
      </c>
      <c r="L10">
        <v>1.6592738664890899E-2</v>
      </c>
      <c r="M10">
        <v>-2.1196669533289601E-2</v>
      </c>
      <c r="N10">
        <v>3.2605949581873503E-2</v>
      </c>
      <c r="O10">
        <v>5.3131657832765E-3</v>
      </c>
      <c r="P10">
        <v>2.1644057639066398E-2</v>
      </c>
      <c r="Q10">
        <v>-2.064166936239E-4</v>
      </c>
      <c r="R10">
        <v>3.4297597473686998E-2</v>
      </c>
      <c r="S10">
        <v>1.5037725201775E-3</v>
      </c>
      <c r="T10">
        <v>2.42881550284322E-2</v>
      </c>
      <c r="U10">
        <v>1.6620089562622901E-2</v>
      </c>
      <c r="V10">
        <v>1.21255203998872E-2</v>
      </c>
      <c r="W10">
        <v>1.7879329250151999E-2</v>
      </c>
      <c r="X10">
        <v>2.36301296284228E-2</v>
      </c>
      <c r="Y10">
        <v>9.7709765197876008E-3</v>
      </c>
      <c r="Z10">
        <v>3.5306921098797198E-2</v>
      </c>
    </row>
    <row r="11" spans="1:26" x14ac:dyDescent="0.35">
      <c r="A11" s="25" t="s">
        <v>59</v>
      </c>
      <c r="B11">
        <v>3.6203296799993002E-3</v>
      </c>
      <c r="C11">
        <v>2.0327363312777701E-2</v>
      </c>
      <c r="D11">
        <v>-1.26356595037259E-2</v>
      </c>
      <c r="E11">
        <v>5.6110891440857097E-2</v>
      </c>
      <c r="F11">
        <v>3.7980966881446199E-2</v>
      </c>
      <c r="G11">
        <v>3.2917760370426999E-2</v>
      </c>
      <c r="H11">
        <v>1.9750041994299101E-2</v>
      </c>
      <c r="I11">
        <v>1.5874923357457101E-2</v>
      </c>
      <c r="J11">
        <v>2.5658925225009298E-2</v>
      </c>
      <c r="K11">
        <v>0.126316926138166</v>
      </c>
      <c r="L11">
        <v>6.6372163505297004E-3</v>
      </c>
      <c r="M11">
        <v>-1.3577888493725499E-2</v>
      </c>
      <c r="N11">
        <v>6.8344639623274403E-2</v>
      </c>
      <c r="O11">
        <v>3.1098087714949E-3</v>
      </c>
      <c r="P11">
        <v>2.19303281414002E-2</v>
      </c>
      <c r="Q11">
        <v>2.4496225901179999E-3</v>
      </c>
      <c r="R11">
        <v>8.5178510906553997E-3</v>
      </c>
      <c r="S11">
        <v>1.7475793842390501E-2</v>
      </c>
      <c r="T11">
        <v>3.7956716519807199E-2</v>
      </c>
      <c r="U11">
        <v>1.6040027195215498E-2</v>
      </c>
      <c r="V11">
        <v>2.4497779427388601E-2</v>
      </c>
      <c r="W11">
        <v>1.6177563694938699E-2</v>
      </c>
      <c r="X11">
        <v>1.9511787388266401E-2</v>
      </c>
      <c r="Y11">
        <v>7.2930067892331002E-3</v>
      </c>
      <c r="Z11">
        <v>1.41141752327747E-2</v>
      </c>
    </row>
    <row r="12" spans="1:26" x14ac:dyDescent="0.35">
      <c r="A12" s="25" t="s">
        <v>61</v>
      </c>
      <c r="B12">
        <v>1.3800247884965301E-2</v>
      </c>
      <c r="C12">
        <v>3.0361198269892298E-2</v>
      </c>
      <c r="D12">
        <v>-2.2515328218361999E-3</v>
      </c>
      <c r="E12">
        <v>6.4372103542857002E-3</v>
      </c>
      <c r="F12">
        <v>9.9352131279465006E-3</v>
      </c>
      <c r="G12">
        <v>-4.8957510051067998E-3</v>
      </c>
      <c r="H12">
        <v>1.1024101161882001E-2</v>
      </c>
      <c r="I12">
        <v>9.5048883827784994E-3</v>
      </c>
      <c r="J12">
        <v>1.6592738664890899E-2</v>
      </c>
      <c r="K12">
        <v>6.6372163505297004E-3</v>
      </c>
      <c r="L12">
        <v>5.5891536058651797E-2</v>
      </c>
      <c r="M12">
        <v>-2.4903587333452899E-2</v>
      </c>
      <c r="N12">
        <v>2.1959856143682999E-2</v>
      </c>
      <c r="O12">
        <v>2.0549998742838499E-2</v>
      </c>
      <c r="P12">
        <v>6.8740672123518004E-3</v>
      </c>
      <c r="Q12">
        <v>6.6204652072744899E-5</v>
      </c>
      <c r="R12">
        <v>1.13910494921491E-2</v>
      </c>
      <c r="S12">
        <v>-3.5266130240434001E-3</v>
      </c>
      <c r="T12">
        <v>3.4989459408514001E-3</v>
      </c>
      <c r="U12">
        <v>1.3766208520831401E-2</v>
      </c>
      <c r="V12">
        <v>6.5097256527360996E-3</v>
      </c>
      <c r="W12">
        <v>2.6458395480082999E-3</v>
      </c>
      <c r="X12">
        <v>8.2937412145583991E-3</v>
      </c>
      <c r="Y12">
        <v>1.56131535786886E-2</v>
      </c>
      <c r="Z12">
        <v>1.03872083352597E-2</v>
      </c>
    </row>
    <row r="13" spans="1:26" x14ac:dyDescent="0.35">
      <c r="A13" s="25" t="s">
        <v>63</v>
      </c>
      <c r="B13">
        <v>1.0312324201537E-3</v>
      </c>
      <c r="C13">
        <v>-1.8004278804413701E-2</v>
      </c>
      <c r="D13">
        <v>1.6302339516872901E-2</v>
      </c>
      <c r="E13">
        <v>-4.5449363616299998E-4</v>
      </c>
      <c r="F13">
        <v>1.17077119789969E-2</v>
      </c>
      <c r="G13">
        <v>1.5352385716362099E-2</v>
      </c>
      <c r="H13">
        <v>-1.6851406013355999E-3</v>
      </c>
      <c r="I13">
        <v>-2.54019414515292E-2</v>
      </c>
      <c r="J13">
        <v>-2.1196669533289601E-2</v>
      </c>
      <c r="K13">
        <v>-1.3577888493725499E-2</v>
      </c>
      <c r="L13">
        <v>-2.4903587333452899E-2</v>
      </c>
      <c r="M13">
        <v>0.20490593819336439</v>
      </c>
      <c r="N13">
        <v>3.0543820868985501E-2</v>
      </c>
      <c r="O13">
        <v>-3.6350178244531899E-2</v>
      </c>
      <c r="P13">
        <v>4.3814198156616998E-3</v>
      </c>
      <c r="Q13">
        <v>2.2151361206039998E-3</v>
      </c>
      <c r="R13">
        <v>-3.9696657692443E-3</v>
      </c>
      <c r="S13">
        <v>-1.0378661052372701E-2</v>
      </c>
      <c r="T13">
        <v>1.29503721879705E-2</v>
      </c>
      <c r="U13">
        <v>-2.1941071658044799E-2</v>
      </c>
      <c r="V13">
        <v>3.6080006755119999E-2</v>
      </c>
      <c r="W13">
        <v>1.3680491046635501E-2</v>
      </c>
      <c r="X13">
        <v>-5.6256755148204E-3</v>
      </c>
      <c r="Y13">
        <v>-7.8767501161719992E-3</v>
      </c>
      <c r="Z13">
        <v>2.0372390576338599E-2</v>
      </c>
    </row>
    <row r="14" spans="1:26" x14ac:dyDescent="0.35">
      <c r="A14" s="25" t="s">
        <v>65</v>
      </c>
      <c r="B14">
        <v>4.0103303499080901E-2</v>
      </c>
      <c r="C14">
        <v>-7.3952881056230004E-4</v>
      </c>
      <c r="D14">
        <v>8.4857527822123999E-3</v>
      </c>
      <c r="E14">
        <v>4.6532764859470603E-2</v>
      </c>
      <c r="F14">
        <v>5.5422475016517099E-2</v>
      </c>
      <c r="G14">
        <v>3.1908282374799299E-2</v>
      </c>
      <c r="H14">
        <v>9.4998266374649997E-4</v>
      </c>
      <c r="I14">
        <v>1.2622114246770901E-2</v>
      </c>
      <c r="J14">
        <v>3.2605949581873503E-2</v>
      </c>
      <c r="K14">
        <v>6.8344639623274403E-2</v>
      </c>
      <c r="L14">
        <v>2.1959856143682999E-2</v>
      </c>
      <c r="M14">
        <v>3.0543820868985501E-2</v>
      </c>
      <c r="N14">
        <v>0.46386839972154881</v>
      </c>
      <c r="O14">
        <v>2.6030198334835001E-2</v>
      </c>
      <c r="P14">
        <v>3.6049560196201598E-2</v>
      </c>
      <c r="Q14">
        <v>-1.219943137947E-3</v>
      </c>
      <c r="R14">
        <v>4.5701058099450999E-2</v>
      </c>
      <c r="S14">
        <v>1.1513340164662001E-3</v>
      </c>
      <c r="T14">
        <v>0.1255578976377604</v>
      </c>
      <c r="U14">
        <v>2.0442695915662501E-2</v>
      </c>
      <c r="V14">
        <v>6.2535839747760905E-2</v>
      </c>
      <c r="W14">
        <v>1.00032343522763E-2</v>
      </c>
      <c r="X14">
        <v>2.4811491148757699E-2</v>
      </c>
      <c r="Y14">
        <v>3.0200875497000301E-2</v>
      </c>
      <c r="Z14">
        <v>3.9029494191548698E-2</v>
      </c>
    </row>
    <row r="15" spans="1:26" x14ac:dyDescent="0.35">
      <c r="A15" s="25" t="s">
        <v>67</v>
      </c>
      <c r="B15">
        <v>1.6747937456410698E-2</v>
      </c>
      <c r="C15">
        <v>1.6816464420092801E-2</v>
      </c>
      <c r="D15">
        <v>3.9003756124719002E-3</v>
      </c>
      <c r="E15">
        <v>9.2005288556329997E-3</v>
      </c>
      <c r="F15">
        <v>4.4264625838635E-3</v>
      </c>
      <c r="G15">
        <v>-8.8724247482199997E-4</v>
      </c>
      <c r="H15">
        <v>1.0236807520560101E-2</v>
      </c>
      <c r="I15">
        <v>7.3120892033873997E-3</v>
      </c>
      <c r="J15">
        <v>5.3131657832765E-3</v>
      </c>
      <c r="K15">
        <v>3.1098087714949E-3</v>
      </c>
      <c r="L15">
        <v>2.0549998742838499E-2</v>
      </c>
      <c r="M15">
        <v>-3.6350178244531899E-2</v>
      </c>
      <c r="N15">
        <v>2.6030198334835001E-2</v>
      </c>
      <c r="O15">
        <v>5.8720078318914098E-2</v>
      </c>
      <c r="P15">
        <v>1.21194919750793E-2</v>
      </c>
      <c r="Q15">
        <v>-6.7531914235035998E-3</v>
      </c>
      <c r="R15">
        <v>1.72167216142699E-2</v>
      </c>
      <c r="S15">
        <v>5.1883673177590003E-4</v>
      </c>
      <c r="T15">
        <v>1.80404788618111E-2</v>
      </c>
      <c r="U15">
        <v>1.9195165172309701E-2</v>
      </c>
      <c r="V15">
        <v>5.2239079465314997E-3</v>
      </c>
      <c r="W15">
        <v>5.0685801185010001E-4</v>
      </c>
      <c r="X15">
        <v>4.4191919795481998E-3</v>
      </c>
      <c r="Y15">
        <v>1.1203004639623501E-2</v>
      </c>
      <c r="Z15">
        <v>-4.2504990714606998E-3</v>
      </c>
    </row>
    <row r="16" spans="1:26" x14ac:dyDescent="0.35">
      <c r="A16" s="25" t="s">
        <v>69</v>
      </c>
      <c r="B16">
        <v>1.75862172914759E-2</v>
      </c>
      <c r="C16">
        <v>9.5464588054855002E-3</v>
      </c>
      <c r="D16">
        <v>1.51126350352567E-2</v>
      </c>
      <c r="E16">
        <v>2.3110741138749901E-2</v>
      </c>
      <c r="F16">
        <v>3.1887011896532799E-2</v>
      </c>
      <c r="G16">
        <v>1.4679665850828E-2</v>
      </c>
      <c r="H16">
        <v>1.93539093670963E-2</v>
      </c>
      <c r="I16">
        <v>1.47043073381289E-2</v>
      </c>
      <c r="J16">
        <v>2.1644057639066398E-2</v>
      </c>
      <c r="K16">
        <v>2.19303281414002E-2</v>
      </c>
      <c r="L16">
        <v>6.8740672123518004E-3</v>
      </c>
      <c r="M16">
        <v>4.3814198156616998E-3</v>
      </c>
      <c r="N16">
        <v>3.6049560196201598E-2</v>
      </c>
      <c r="O16">
        <v>1.21194919750793E-2</v>
      </c>
      <c r="P16">
        <v>4.85489323185763E-2</v>
      </c>
      <c r="Q16">
        <v>5.5083419098440004E-3</v>
      </c>
      <c r="R16">
        <v>1.87463334809908E-2</v>
      </c>
      <c r="S16">
        <v>2.2556141100462E-3</v>
      </c>
      <c r="T16">
        <v>2.9003378191321299E-2</v>
      </c>
      <c r="U16">
        <v>9.9169371427945009E-3</v>
      </c>
      <c r="V16">
        <v>1.7326680078713099E-2</v>
      </c>
      <c r="W16">
        <v>2.0470899499838099E-2</v>
      </c>
      <c r="X16">
        <v>2.0360718079589502E-2</v>
      </c>
      <c r="Y16">
        <v>7.9134774245804996E-3</v>
      </c>
      <c r="Z16">
        <v>2.69647197758561E-2</v>
      </c>
    </row>
    <row r="17" spans="1:26" x14ac:dyDescent="0.35">
      <c r="A17" s="25" t="s">
        <v>71</v>
      </c>
      <c r="B17">
        <v>-1.35863929247729E-2</v>
      </c>
      <c r="C17">
        <v>-2.053514468247E-3</v>
      </c>
      <c r="D17">
        <v>-2.9361354788234668E-5</v>
      </c>
      <c r="E17">
        <v>-2.8712883964435E-3</v>
      </c>
      <c r="F17">
        <v>5.1934909988077997E-3</v>
      </c>
      <c r="G17">
        <v>8.4101621450319002E-3</v>
      </c>
      <c r="H17">
        <v>6.7949608052601997E-3</v>
      </c>
      <c r="I17">
        <v>7.7031945242377001E-3</v>
      </c>
      <c r="J17">
        <v>-2.064166936239E-4</v>
      </c>
      <c r="K17">
        <v>2.4496225901179999E-3</v>
      </c>
      <c r="L17">
        <v>6.6204652072744899E-5</v>
      </c>
      <c r="M17">
        <v>2.2151361206039998E-3</v>
      </c>
      <c r="N17">
        <v>-1.219943137947E-3</v>
      </c>
      <c r="O17">
        <v>-6.7531914235035998E-3</v>
      </c>
      <c r="P17">
        <v>5.5083419098440004E-3</v>
      </c>
      <c r="Q17">
        <v>4.9428859592517603E-2</v>
      </c>
      <c r="R17">
        <v>-8.9904280930823005E-3</v>
      </c>
      <c r="S17">
        <v>1.23135603723984E-2</v>
      </c>
      <c r="T17">
        <v>-4.1597074301664002E-3</v>
      </c>
      <c r="U17">
        <v>7.3238156526027002E-3</v>
      </c>
      <c r="V17">
        <v>8.9358170935854003E-3</v>
      </c>
      <c r="W17">
        <v>1.68222666089771E-2</v>
      </c>
      <c r="X17">
        <v>4.1798973656763999E-3</v>
      </c>
      <c r="Y17">
        <v>4.7544923683888003E-3</v>
      </c>
      <c r="Z17">
        <v>9.7679343064233995E-3</v>
      </c>
    </row>
    <row r="18" spans="1:26" x14ac:dyDescent="0.35">
      <c r="A18" s="25" t="s">
        <v>74</v>
      </c>
      <c r="B18">
        <v>4.1592659779654498E-2</v>
      </c>
      <c r="C18">
        <v>1.99812850688619E-2</v>
      </c>
      <c r="D18">
        <v>1.5975915065241299E-2</v>
      </c>
      <c r="E18">
        <v>6.0432174266127998E-3</v>
      </c>
      <c r="F18">
        <v>1.2157109539363799E-2</v>
      </c>
      <c r="G18">
        <v>1.5975364854749399E-2</v>
      </c>
      <c r="H18">
        <v>2.18390044755081E-2</v>
      </c>
      <c r="I18">
        <v>1.3045400656772001E-3</v>
      </c>
      <c r="J18">
        <v>3.4297597473686998E-2</v>
      </c>
      <c r="K18">
        <v>8.5178510906553997E-3</v>
      </c>
      <c r="L18">
        <v>1.13910494921491E-2</v>
      </c>
      <c r="M18">
        <v>-3.9696657692443E-3</v>
      </c>
      <c r="N18">
        <v>4.5701058099450999E-2</v>
      </c>
      <c r="O18">
        <v>1.72167216142699E-2</v>
      </c>
      <c r="P18">
        <v>1.87463334809908E-2</v>
      </c>
      <c r="Q18">
        <v>-8.9904280930823005E-3</v>
      </c>
      <c r="R18">
        <v>0.15752033046693151</v>
      </c>
      <c r="S18">
        <v>9.0565726556275008E-3</v>
      </c>
      <c r="T18">
        <v>3.2784954409016902E-2</v>
      </c>
      <c r="U18">
        <v>2.1158881163860201E-2</v>
      </c>
      <c r="V18">
        <v>9.5841745532630994E-3</v>
      </c>
      <c r="W18">
        <v>1.16179447746311E-2</v>
      </c>
      <c r="X18">
        <v>1.89753600464369E-2</v>
      </c>
      <c r="Y18">
        <v>1.8955415508107001E-2</v>
      </c>
      <c r="Z18">
        <v>2.39916847133952E-2</v>
      </c>
    </row>
    <row r="19" spans="1:26" x14ac:dyDescent="0.35">
      <c r="A19" s="25" t="s">
        <v>77</v>
      </c>
      <c r="B19">
        <v>2.7215854774498001E-3</v>
      </c>
      <c r="C19">
        <v>1.5961458005357799E-2</v>
      </c>
      <c r="D19">
        <v>-2.2755246659743E-2</v>
      </c>
      <c r="E19">
        <v>2.559485161873E-3</v>
      </c>
      <c r="F19">
        <v>1.5130620439163399E-2</v>
      </c>
      <c r="G19">
        <v>1.7489261183920701E-2</v>
      </c>
      <c r="H19">
        <v>5.3908335284669998E-4</v>
      </c>
      <c r="I19">
        <v>4.5793026515862003E-3</v>
      </c>
      <c r="J19">
        <v>1.5037725201775E-3</v>
      </c>
      <c r="K19">
        <v>1.7475793842390501E-2</v>
      </c>
      <c r="L19">
        <v>-3.5266130240434001E-3</v>
      </c>
      <c r="M19">
        <v>-1.0378661052372701E-2</v>
      </c>
      <c r="N19">
        <v>1.1513340164662001E-3</v>
      </c>
      <c r="O19">
        <v>5.1883673177590003E-4</v>
      </c>
      <c r="P19">
        <v>2.2556141100462E-3</v>
      </c>
      <c r="Q19">
        <v>1.23135603723984E-2</v>
      </c>
      <c r="R19">
        <v>9.0565726556275008E-3</v>
      </c>
      <c r="S19">
        <v>0.1054363027053738</v>
      </c>
      <c r="T19">
        <v>6.9431677452063004E-3</v>
      </c>
      <c r="U19">
        <v>4.1411286879226E-3</v>
      </c>
      <c r="V19">
        <v>-8.0398757580139998E-4</v>
      </c>
      <c r="W19">
        <v>1.06483620971798E-2</v>
      </c>
      <c r="X19">
        <v>1.0711281656322E-2</v>
      </c>
      <c r="Y19">
        <v>7.7936855453867001E-3</v>
      </c>
      <c r="Z19">
        <v>-8.3741047987415003E-3</v>
      </c>
    </row>
    <row r="20" spans="1:26" x14ac:dyDescent="0.35">
      <c r="A20" s="25" t="s">
        <v>79</v>
      </c>
      <c r="B20">
        <v>4.2093337293311002E-2</v>
      </c>
      <c r="C20">
        <v>3.08499756976814E-2</v>
      </c>
      <c r="D20">
        <v>4.4989327266778999E-3</v>
      </c>
      <c r="E20">
        <v>3.26757494358536E-2</v>
      </c>
      <c r="F20">
        <v>5.21674475498623E-2</v>
      </c>
      <c r="G20">
        <v>1.9647522451964199E-2</v>
      </c>
      <c r="H20">
        <v>1.39105914002489E-2</v>
      </c>
      <c r="I20">
        <v>3.4688282367578999E-3</v>
      </c>
      <c r="J20">
        <v>2.42881550284322E-2</v>
      </c>
      <c r="K20">
        <v>3.7956716519807199E-2</v>
      </c>
      <c r="L20">
        <v>3.4989459408514001E-3</v>
      </c>
      <c r="M20">
        <v>1.29503721879705E-2</v>
      </c>
      <c r="N20">
        <v>0.1255578976377604</v>
      </c>
      <c r="O20">
        <v>1.80404788618111E-2</v>
      </c>
      <c r="P20">
        <v>2.9003378191321299E-2</v>
      </c>
      <c r="Q20">
        <v>-4.1597074301664002E-3</v>
      </c>
      <c r="R20">
        <v>3.2784954409016902E-2</v>
      </c>
      <c r="S20">
        <v>6.9431677452063004E-3</v>
      </c>
      <c r="T20">
        <v>0.30822806384024071</v>
      </c>
      <c r="U20">
        <v>2.14872866382145E-2</v>
      </c>
      <c r="V20">
        <v>2.6578369188766202E-2</v>
      </c>
      <c r="W20">
        <v>4.7643498289679599E-2</v>
      </c>
      <c r="X20">
        <v>1.95671965480675E-2</v>
      </c>
      <c r="Y20">
        <v>4.7907064779111998E-3</v>
      </c>
      <c r="Z20">
        <v>5.9330596177269199E-2</v>
      </c>
    </row>
    <row r="21" spans="1:26" x14ac:dyDescent="0.35">
      <c r="A21" s="25" t="s">
        <v>81</v>
      </c>
      <c r="B21">
        <v>9.3134513232441003E-3</v>
      </c>
      <c r="C21">
        <v>1.4434603550860301E-2</v>
      </c>
      <c r="D21">
        <v>9.9746291535818994E-3</v>
      </c>
      <c r="E21">
        <v>9.5469697581117997E-3</v>
      </c>
      <c r="F21">
        <v>1.2323229931049701E-2</v>
      </c>
      <c r="G21">
        <v>5.943248670525E-3</v>
      </c>
      <c r="H21">
        <v>9.7230853288529998E-3</v>
      </c>
      <c r="I21">
        <v>1.4441074451653499E-2</v>
      </c>
      <c r="J21">
        <v>1.6620089562622901E-2</v>
      </c>
      <c r="K21">
        <v>1.6040027195215498E-2</v>
      </c>
      <c r="L21">
        <v>1.3766208520831401E-2</v>
      </c>
      <c r="M21">
        <v>-2.1941071658044799E-2</v>
      </c>
      <c r="N21">
        <v>2.0442695915662501E-2</v>
      </c>
      <c r="O21">
        <v>1.9195165172309701E-2</v>
      </c>
      <c r="P21">
        <v>9.9169371427945009E-3</v>
      </c>
      <c r="Q21">
        <v>7.3238156526027002E-3</v>
      </c>
      <c r="R21">
        <v>2.1158881163860201E-2</v>
      </c>
      <c r="S21">
        <v>4.1411286879226E-3</v>
      </c>
      <c r="T21">
        <v>2.14872866382145E-2</v>
      </c>
      <c r="U21">
        <v>8.4860415725047295E-2</v>
      </c>
      <c r="V21">
        <v>-1.7680361933436E-3</v>
      </c>
      <c r="W21">
        <v>2.4935126280675002E-3</v>
      </c>
      <c r="X21">
        <v>1.1764645201076999E-2</v>
      </c>
      <c r="Y21">
        <v>1.77442197242067E-2</v>
      </c>
      <c r="Z21">
        <v>-8.0462134172929996E-4</v>
      </c>
    </row>
    <row r="22" spans="1:26" x14ac:dyDescent="0.35">
      <c r="A22" s="25" t="s">
        <v>83</v>
      </c>
      <c r="B22">
        <v>2.60934601958152E-2</v>
      </c>
      <c r="C22">
        <v>-3.6478012824385998E-3</v>
      </c>
      <c r="D22">
        <v>-1.6858739576684999E-2</v>
      </c>
      <c r="E22">
        <v>2.6133410218293698E-2</v>
      </c>
      <c r="F22">
        <v>3.5486366264279999E-2</v>
      </c>
      <c r="G22">
        <v>7.3177462344657003E-3</v>
      </c>
      <c r="H22">
        <v>2.0908525825336002E-3</v>
      </c>
      <c r="I22">
        <v>-1.6151077237620999E-3</v>
      </c>
      <c r="J22">
        <v>1.21255203998872E-2</v>
      </c>
      <c r="K22">
        <v>2.4497779427388601E-2</v>
      </c>
      <c r="L22">
        <v>6.5097256527360996E-3</v>
      </c>
      <c r="M22">
        <v>3.6080006755119999E-2</v>
      </c>
      <c r="N22">
        <v>6.2535839747760905E-2</v>
      </c>
      <c r="O22">
        <v>5.2239079465314997E-3</v>
      </c>
      <c r="P22">
        <v>1.7326680078713099E-2</v>
      </c>
      <c r="Q22">
        <v>8.9358170935854003E-3</v>
      </c>
      <c r="R22">
        <v>9.5841745532630994E-3</v>
      </c>
      <c r="S22">
        <v>-8.0398757580139998E-4</v>
      </c>
      <c r="T22">
        <v>2.6578369188766202E-2</v>
      </c>
      <c r="U22">
        <v>-1.7680361933436E-3</v>
      </c>
      <c r="V22">
        <v>0.1782596352155372</v>
      </c>
      <c r="W22">
        <v>1.5778848347359199E-2</v>
      </c>
      <c r="X22">
        <v>1.4102635045719999E-2</v>
      </c>
      <c r="Y22">
        <v>6.8452747141713004E-3</v>
      </c>
      <c r="Z22">
        <v>1.4473363547640301E-2</v>
      </c>
    </row>
    <row r="23" spans="1:26" x14ac:dyDescent="0.35">
      <c r="A23" s="25" t="s">
        <v>85</v>
      </c>
      <c r="B23">
        <v>2.2693075311535801E-2</v>
      </c>
      <c r="C23">
        <v>1.7407865446265498E-2</v>
      </c>
      <c r="D23">
        <v>-1.1128637253243701E-2</v>
      </c>
      <c r="E23">
        <v>2.0962839519056399E-2</v>
      </c>
      <c r="F23">
        <v>3.0242406799696499E-2</v>
      </c>
      <c r="G23">
        <v>-4.0745920498565001E-3</v>
      </c>
      <c r="H23">
        <v>8.0242624081989008E-3</v>
      </c>
      <c r="I23">
        <v>6.4739676864198104E-5</v>
      </c>
      <c r="J23">
        <v>1.7879329250151999E-2</v>
      </c>
      <c r="K23">
        <v>1.6177563694938699E-2</v>
      </c>
      <c r="L23">
        <v>2.6458395480082999E-3</v>
      </c>
      <c r="M23">
        <v>1.3680491046635501E-2</v>
      </c>
      <c r="N23">
        <v>1.00032343522763E-2</v>
      </c>
      <c r="O23">
        <v>5.0685801185010001E-4</v>
      </c>
      <c r="P23">
        <v>2.0470899499838099E-2</v>
      </c>
      <c r="Q23">
        <v>1.68222666089771E-2</v>
      </c>
      <c r="R23">
        <v>1.16179447746311E-2</v>
      </c>
      <c r="S23">
        <v>1.06483620971798E-2</v>
      </c>
      <c r="T23">
        <v>4.7643498289679599E-2</v>
      </c>
      <c r="U23">
        <v>2.4935126280675002E-3</v>
      </c>
      <c r="V23">
        <v>1.5778848347359199E-2</v>
      </c>
      <c r="W23">
        <v>0.2009796284163719</v>
      </c>
      <c r="X23">
        <v>3.5951906274425999E-3</v>
      </c>
      <c r="Y23">
        <v>-5.3232772349171998E-3</v>
      </c>
      <c r="Z23">
        <v>0.1190418530738093</v>
      </c>
    </row>
    <row r="24" spans="1:26" x14ac:dyDescent="0.35">
      <c r="A24" s="25" t="s">
        <v>87</v>
      </c>
      <c r="B24">
        <v>9.2135663748910005E-4</v>
      </c>
      <c r="C24">
        <v>1.7026075890745802E-2</v>
      </c>
      <c r="D24">
        <v>4.3120208166314601E-2</v>
      </c>
      <c r="E24">
        <v>1.9009916306354999E-2</v>
      </c>
      <c r="F24">
        <v>4.1594342755332997E-2</v>
      </c>
      <c r="G24">
        <v>3.2272221416377402E-2</v>
      </c>
      <c r="H24">
        <v>3.0144010631600399E-2</v>
      </c>
      <c r="I24">
        <v>2.6942438593753001E-2</v>
      </c>
      <c r="J24">
        <v>2.36301296284228E-2</v>
      </c>
      <c r="K24">
        <v>1.9511787388266401E-2</v>
      </c>
      <c r="L24">
        <v>8.2937412145583991E-3</v>
      </c>
      <c r="M24">
        <v>-5.6256755148204E-3</v>
      </c>
      <c r="N24">
        <v>2.4811491148757699E-2</v>
      </c>
      <c r="O24">
        <v>4.4191919795481998E-3</v>
      </c>
      <c r="P24">
        <v>2.0360718079589502E-2</v>
      </c>
      <c r="Q24">
        <v>4.1798973656763999E-3</v>
      </c>
      <c r="R24">
        <v>1.89753600464369E-2</v>
      </c>
      <c r="S24">
        <v>1.0711281656322E-2</v>
      </c>
      <c r="T24">
        <v>1.95671965480675E-2</v>
      </c>
      <c r="U24">
        <v>1.1764645201076999E-2</v>
      </c>
      <c r="V24">
        <v>1.4102635045719999E-2</v>
      </c>
      <c r="W24">
        <v>3.5951906274425999E-3</v>
      </c>
      <c r="X24">
        <v>8.2967496729047505E-2</v>
      </c>
      <c r="Y24">
        <v>1.1591326386542301E-2</v>
      </c>
      <c r="Z24">
        <v>5.7172275829061999E-3</v>
      </c>
    </row>
    <row r="25" spans="1:26" x14ac:dyDescent="0.35">
      <c r="A25" s="25" t="s">
        <v>89</v>
      </c>
      <c r="B25">
        <v>1.68856731268427E-2</v>
      </c>
      <c r="C25">
        <v>1.756723294082E-4</v>
      </c>
      <c r="D25">
        <v>-1.3992896049524999E-3</v>
      </c>
      <c r="E25">
        <v>1.3817213547437999E-3</v>
      </c>
      <c r="F25">
        <v>1.1341823056250901E-2</v>
      </c>
      <c r="G25">
        <v>1.1219602601251899E-2</v>
      </c>
      <c r="H25">
        <v>-1.9969173031030001E-3</v>
      </c>
      <c r="I25">
        <v>1.01578867032249E-2</v>
      </c>
      <c r="J25">
        <v>9.7709765197876008E-3</v>
      </c>
      <c r="K25">
        <v>7.2930067892331002E-3</v>
      </c>
      <c r="L25">
        <v>1.56131535786886E-2</v>
      </c>
      <c r="M25">
        <v>-7.8767501161719992E-3</v>
      </c>
      <c r="N25">
        <v>3.0200875497000301E-2</v>
      </c>
      <c r="O25">
        <v>1.1203004639623501E-2</v>
      </c>
      <c r="P25">
        <v>7.9134774245804996E-3</v>
      </c>
      <c r="Q25">
        <v>4.7544923683888003E-3</v>
      </c>
      <c r="R25">
        <v>1.8955415508107001E-2</v>
      </c>
      <c r="S25">
        <v>7.7936855453867001E-3</v>
      </c>
      <c r="T25">
        <v>4.7907064779111998E-3</v>
      </c>
      <c r="U25">
        <v>1.77442197242067E-2</v>
      </c>
      <c r="V25">
        <v>6.8452747141713004E-3</v>
      </c>
      <c r="W25">
        <v>-5.3232772349171998E-3</v>
      </c>
      <c r="X25">
        <v>1.1591326386542301E-2</v>
      </c>
      <c r="Y25">
        <v>7.2611235265823595E-2</v>
      </c>
      <c r="Z25">
        <v>-1.02715097546341E-2</v>
      </c>
    </row>
    <row r="26" spans="1:26" x14ac:dyDescent="0.35">
      <c r="A26" s="25" t="s">
        <v>91</v>
      </c>
      <c r="B26">
        <v>2.1030324870017901E-2</v>
      </c>
      <c r="C26">
        <v>2.4888798196587202E-2</v>
      </c>
      <c r="D26">
        <v>2.1138389320096599E-2</v>
      </c>
      <c r="E26">
        <v>2.2442162380407599E-2</v>
      </c>
      <c r="F26">
        <v>2.4907043743023799E-2</v>
      </c>
      <c r="G26">
        <v>2.0297247981146999E-3</v>
      </c>
      <c r="H26">
        <v>4.2981990189699002E-3</v>
      </c>
      <c r="I26">
        <v>-4.3377705204707996E-3</v>
      </c>
      <c r="J26">
        <v>3.5306921098797198E-2</v>
      </c>
      <c r="K26">
        <v>1.41141752327747E-2</v>
      </c>
      <c r="L26">
        <v>1.03872083352597E-2</v>
      </c>
      <c r="M26">
        <v>2.0372390576338599E-2</v>
      </c>
      <c r="N26">
        <v>3.9029494191548698E-2</v>
      </c>
      <c r="O26">
        <v>-4.2504990714606998E-3</v>
      </c>
      <c r="P26">
        <v>2.69647197758561E-2</v>
      </c>
      <c r="Q26">
        <v>9.7679343064233995E-3</v>
      </c>
      <c r="R26">
        <v>2.39916847133952E-2</v>
      </c>
      <c r="S26">
        <v>-8.3741047987415003E-3</v>
      </c>
      <c r="T26">
        <v>5.9330596177269199E-2</v>
      </c>
      <c r="U26">
        <v>-8.0462134172929996E-4</v>
      </c>
      <c r="V26">
        <v>1.4473363547640301E-2</v>
      </c>
      <c r="W26">
        <v>0.1190418530738093</v>
      </c>
      <c r="X26">
        <v>5.7172275829061999E-3</v>
      </c>
      <c r="Y26">
        <v>-1.02715097546341E-2</v>
      </c>
      <c r="Z26">
        <v>0.16894338340458839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26"/>
  <sheetViews>
    <sheetView workbookViewId="0"/>
  </sheetViews>
  <sheetFormatPr defaultRowHeight="14.5" x14ac:dyDescent="0.35"/>
  <sheetData>
    <row r="1" spans="1:26" x14ac:dyDescent="0.35">
      <c r="B1" s="25" t="s">
        <v>36</v>
      </c>
      <c r="C1" s="25" t="s">
        <v>39</v>
      </c>
      <c r="D1" s="25" t="s">
        <v>42</v>
      </c>
      <c r="E1" s="25" t="s">
        <v>44</v>
      </c>
      <c r="F1" s="25" t="s">
        <v>47</v>
      </c>
      <c r="G1" s="25" t="s">
        <v>50</v>
      </c>
      <c r="H1" s="25" t="s">
        <v>53</v>
      </c>
      <c r="I1" s="25" t="s">
        <v>55</v>
      </c>
      <c r="J1" s="25" t="s">
        <v>57</v>
      </c>
      <c r="K1" s="25" t="s">
        <v>59</v>
      </c>
      <c r="L1" s="25" t="s">
        <v>61</v>
      </c>
      <c r="M1" s="25" t="s">
        <v>63</v>
      </c>
      <c r="N1" s="25" t="s">
        <v>65</v>
      </c>
      <c r="O1" s="25" t="s">
        <v>67</v>
      </c>
      <c r="P1" s="25" t="s">
        <v>69</v>
      </c>
      <c r="Q1" s="25" t="s">
        <v>71</v>
      </c>
      <c r="R1" s="25" t="s">
        <v>74</v>
      </c>
      <c r="S1" s="25" t="s">
        <v>77</v>
      </c>
      <c r="T1" s="25" t="s">
        <v>79</v>
      </c>
      <c r="U1" s="25" t="s">
        <v>81</v>
      </c>
      <c r="V1" s="25" t="s">
        <v>83</v>
      </c>
      <c r="W1" s="25" t="s">
        <v>85</v>
      </c>
      <c r="X1" s="25" t="s">
        <v>87</v>
      </c>
      <c r="Y1" s="25" t="s">
        <v>89</v>
      </c>
      <c r="Z1" s="25" t="s">
        <v>91</v>
      </c>
    </row>
    <row r="2" spans="1:26" x14ac:dyDescent="0.35">
      <c r="A2" s="25" t="s">
        <v>36</v>
      </c>
      <c r="B2">
        <v>1</v>
      </c>
      <c r="C2">
        <v>9.0280224613582094E-2</v>
      </c>
      <c r="D2">
        <v>-3.0626201359243099E-2</v>
      </c>
      <c r="E2">
        <v>-3.2282147986923797E-2</v>
      </c>
      <c r="F2">
        <v>4.9399251295040698E-2</v>
      </c>
      <c r="G2">
        <v>-4.7305017809413201E-2</v>
      </c>
      <c r="H2">
        <v>7.7744703644562596E-2</v>
      </c>
      <c r="I2">
        <v>1.7966063088324E-3</v>
      </c>
      <c r="J2">
        <v>0.33638895324892459</v>
      </c>
      <c r="K2">
        <v>3.2645062291634802E-2</v>
      </c>
      <c r="L2">
        <v>0.18707425312262169</v>
      </c>
      <c r="M2">
        <v>7.3009511242116002E-3</v>
      </c>
      <c r="N2">
        <v>0.18870478395484719</v>
      </c>
      <c r="O2">
        <v>0.22149716534370159</v>
      </c>
      <c r="P2">
        <v>0.25578952091976331</v>
      </c>
      <c r="Q2">
        <v>-0.1958456954071188</v>
      </c>
      <c r="R2">
        <v>0.3358524662850369</v>
      </c>
      <c r="S2">
        <v>2.6861301405985E-2</v>
      </c>
      <c r="T2">
        <v>0.2429838592381213</v>
      </c>
      <c r="U2">
        <v>0.102460914282629</v>
      </c>
      <c r="V2">
        <v>0.19806389817517239</v>
      </c>
      <c r="W2">
        <v>0.1622248907161056</v>
      </c>
      <c r="X2">
        <v>1.02511816850721E-2</v>
      </c>
      <c r="Y2">
        <v>0.20082446594708209</v>
      </c>
      <c r="Z2">
        <v>0.16397420846298719</v>
      </c>
    </row>
    <row r="3" spans="1:26" x14ac:dyDescent="0.35">
      <c r="A3" s="25" t="s">
        <v>39</v>
      </c>
      <c r="B3">
        <v>9.0280224613582094E-2</v>
      </c>
      <c r="C3">
        <v>1</v>
      </c>
      <c r="D3">
        <v>-7.9795852974824902E-2</v>
      </c>
      <c r="E3">
        <v>0.14375219814912579</v>
      </c>
      <c r="F3">
        <v>0.14419602595053771</v>
      </c>
      <c r="G3">
        <v>8.3050787995235506E-2</v>
      </c>
      <c r="H3">
        <v>0.10071454216420329</v>
      </c>
      <c r="I3">
        <v>0.17418518653061549</v>
      </c>
      <c r="J3">
        <v>0.29093263573519218</v>
      </c>
      <c r="K3">
        <v>0.16012334521059601</v>
      </c>
      <c r="L3">
        <v>0.3595425255690291</v>
      </c>
      <c r="M3">
        <v>-0.1113532345707257</v>
      </c>
      <c r="N3">
        <v>-3.0399195018446E-3</v>
      </c>
      <c r="O3">
        <v>0.1942879022720482</v>
      </c>
      <c r="P3">
        <v>0.1212988939127362</v>
      </c>
      <c r="Q3">
        <v>-2.58590074499646E-2</v>
      </c>
      <c r="R3">
        <v>0.1409481851478695</v>
      </c>
      <c r="S3">
        <v>0.1376200955438184</v>
      </c>
      <c r="T3">
        <v>0.155569020276938</v>
      </c>
      <c r="U3">
        <v>0.13872561615837981</v>
      </c>
      <c r="V3">
        <v>-2.4188505969186799E-2</v>
      </c>
      <c r="W3">
        <v>0.10871109775555959</v>
      </c>
      <c r="X3">
        <v>0.16548740693965949</v>
      </c>
      <c r="Y3">
        <v>1.8251805289933999E-3</v>
      </c>
      <c r="Z3">
        <v>0.16952654543373449</v>
      </c>
    </row>
    <row r="4" spans="1:26" x14ac:dyDescent="0.35">
      <c r="A4" s="25" t="s">
        <v>42</v>
      </c>
      <c r="B4">
        <v>-3.0626201359243099E-2</v>
      </c>
      <c r="C4">
        <v>-7.9795852974824902E-2</v>
      </c>
      <c r="D4">
        <v>1</v>
      </c>
      <c r="E4">
        <v>2.1153701647351999E-2</v>
      </c>
      <c r="F4">
        <v>-3.9758502557366598E-2</v>
      </c>
      <c r="G4">
        <v>9.3080858538001007E-3</v>
      </c>
      <c r="H4">
        <v>0.27423419825906009</v>
      </c>
      <c r="I4">
        <v>0.23838762035066771</v>
      </c>
      <c r="J4">
        <v>1.1170913943753E-3</v>
      </c>
      <c r="K4">
        <v>-6.0991755946076198E-2</v>
      </c>
      <c r="L4">
        <v>-1.6338389921921301E-2</v>
      </c>
      <c r="M4">
        <v>6.1784090540377701E-2</v>
      </c>
      <c r="N4">
        <v>2.1374549893703101E-2</v>
      </c>
      <c r="O4">
        <v>2.7613224010021298E-2</v>
      </c>
      <c r="P4">
        <v>0.1176669102176333</v>
      </c>
      <c r="Q4">
        <v>-2.2656342032670001E-4</v>
      </c>
      <c r="R4">
        <v>6.9056002234486297E-2</v>
      </c>
      <c r="S4">
        <v>-0.1202238025768065</v>
      </c>
      <c r="T4">
        <v>1.39020039280648E-2</v>
      </c>
      <c r="U4">
        <v>5.8741925399232897E-2</v>
      </c>
      <c r="V4">
        <v>-6.8501896007691104E-2</v>
      </c>
      <c r="W4">
        <v>-4.2586305364370698E-2</v>
      </c>
      <c r="X4">
        <v>0.25682118895134881</v>
      </c>
      <c r="Y4">
        <v>-8.9086047760923992E-3</v>
      </c>
      <c r="Z4">
        <v>8.8227768598802006E-2</v>
      </c>
    </row>
    <row r="5" spans="1:26" x14ac:dyDescent="0.35">
      <c r="A5" s="25" t="s">
        <v>44</v>
      </c>
      <c r="B5">
        <v>-3.2282147986923797E-2</v>
      </c>
      <c r="C5">
        <v>0.14375219814912579</v>
      </c>
      <c r="D5">
        <v>2.1153701647351999E-2</v>
      </c>
      <c r="E5">
        <v>1</v>
      </c>
      <c r="F5">
        <v>0.24071834976639239</v>
      </c>
      <c r="G5">
        <v>0.21143608261046279</v>
      </c>
      <c r="H5">
        <v>0.17215965020480489</v>
      </c>
      <c r="I5">
        <v>0.1638807422276119</v>
      </c>
      <c r="J5">
        <v>0.22614391007339349</v>
      </c>
      <c r="K5">
        <v>0.63269746906405211</v>
      </c>
      <c r="L5">
        <v>0.1091200060992225</v>
      </c>
      <c r="M5">
        <v>-4.0237430307138002E-3</v>
      </c>
      <c r="N5">
        <v>0.27380486921087188</v>
      </c>
      <c r="O5">
        <v>0.15215953829429199</v>
      </c>
      <c r="P5">
        <v>0.42034291777293958</v>
      </c>
      <c r="Q5">
        <v>-5.1756657772990801E-2</v>
      </c>
      <c r="R5">
        <v>6.1021041498203997E-2</v>
      </c>
      <c r="S5">
        <v>3.1589098725179197E-2</v>
      </c>
      <c r="T5">
        <v>0.23586807962533271</v>
      </c>
      <c r="U5">
        <v>0.13133868765484669</v>
      </c>
      <c r="V5">
        <v>0.24805574058078289</v>
      </c>
      <c r="W5">
        <v>0.1873931852489745</v>
      </c>
      <c r="X5">
        <v>0.26448796463607732</v>
      </c>
      <c r="Y5">
        <v>2.05493580981942E-2</v>
      </c>
      <c r="Z5">
        <v>0.2188133472782933</v>
      </c>
    </row>
    <row r="6" spans="1:26" x14ac:dyDescent="0.35">
      <c r="A6" s="25" t="s">
        <v>47</v>
      </c>
      <c r="B6">
        <v>4.9399251295040698E-2</v>
      </c>
      <c r="C6">
        <v>0.14419602595053771</v>
      </c>
      <c r="D6">
        <v>-3.9758502557366598E-2</v>
      </c>
      <c r="E6">
        <v>0.24071834976639239</v>
      </c>
      <c r="F6">
        <v>1</v>
      </c>
      <c r="G6">
        <v>0.15596000101976101</v>
      </c>
      <c r="H6">
        <v>0.1031679661504888</v>
      </c>
      <c r="I6">
        <v>0.18698054109438339</v>
      </c>
      <c r="J6">
        <v>0.14601763214422719</v>
      </c>
      <c r="K6">
        <v>0.24404497042126719</v>
      </c>
      <c r="L6">
        <v>9.5970727032555103E-2</v>
      </c>
      <c r="M6">
        <v>5.90648869708712E-2</v>
      </c>
      <c r="N6">
        <v>0.18583313006031019</v>
      </c>
      <c r="O6">
        <v>4.1715562503604503E-2</v>
      </c>
      <c r="P6">
        <v>0.3304902120317052</v>
      </c>
      <c r="Q6">
        <v>5.3346226863769601E-2</v>
      </c>
      <c r="R6">
        <v>6.9951437288169299E-2</v>
      </c>
      <c r="S6">
        <v>0.1064133884480062</v>
      </c>
      <c r="T6">
        <v>0.2145843863776723</v>
      </c>
      <c r="U6">
        <v>9.6606554664502395E-2</v>
      </c>
      <c r="V6">
        <v>0.19194183551827459</v>
      </c>
      <c r="W6">
        <v>0.15405469946378761</v>
      </c>
      <c r="X6">
        <v>0.32977284610934648</v>
      </c>
      <c r="Y6">
        <v>9.6120401160155397E-2</v>
      </c>
      <c r="Z6">
        <v>0.13838410502548781</v>
      </c>
    </row>
    <row r="7" spans="1:26" x14ac:dyDescent="0.35">
      <c r="A7" s="25" t="s">
        <v>50</v>
      </c>
      <c r="B7">
        <v>-4.7305017809413201E-2</v>
      </c>
      <c r="C7">
        <v>8.3050787995235506E-2</v>
      </c>
      <c r="D7">
        <v>9.3080858538001007E-3</v>
      </c>
      <c r="E7">
        <v>0.21143608261046279</v>
      </c>
      <c r="F7">
        <v>0.15596000101976101</v>
      </c>
      <c r="G7">
        <v>1</v>
      </c>
      <c r="H7">
        <v>7.0873751602535895E-2</v>
      </c>
      <c r="I7">
        <v>0.14097200271048441</v>
      </c>
      <c r="J7">
        <v>7.1297829261523601E-2</v>
      </c>
      <c r="K7">
        <v>0.22170338379815871</v>
      </c>
      <c r="L7">
        <v>-4.9570022462772298E-2</v>
      </c>
      <c r="M7">
        <v>8.1184181709810996E-2</v>
      </c>
      <c r="N7">
        <v>0.11214472477502301</v>
      </c>
      <c r="O7">
        <v>-8.7643926938197995E-3</v>
      </c>
      <c r="P7">
        <v>0.1594773993765182</v>
      </c>
      <c r="Q7">
        <v>9.0549673828047503E-2</v>
      </c>
      <c r="R7">
        <v>9.6350793391588599E-2</v>
      </c>
      <c r="S7">
        <v>0.12892857900103261</v>
      </c>
      <c r="T7">
        <v>8.4711919244288295E-2</v>
      </c>
      <c r="U7">
        <v>4.8836456094237202E-2</v>
      </c>
      <c r="V7">
        <v>4.1488110377115903E-2</v>
      </c>
      <c r="W7">
        <v>-2.1756094205822901E-2</v>
      </c>
      <c r="X7">
        <v>0.26819315157213541</v>
      </c>
      <c r="Y7">
        <v>9.96663098099516E-2</v>
      </c>
      <c r="Z7">
        <v>1.1820596169731501E-2</v>
      </c>
    </row>
    <row r="8" spans="1:26" x14ac:dyDescent="0.35">
      <c r="A8" s="25" t="s">
        <v>53</v>
      </c>
      <c r="B8">
        <v>7.7744703644562596E-2</v>
      </c>
      <c r="C8">
        <v>0.10071454216420329</v>
      </c>
      <c r="D8">
        <v>0.27423419825906009</v>
      </c>
      <c r="E8">
        <v>0.17215965020480489</v>
      </c>
      <c r="F8">
        <v>0.1031679661504888</v>
      </c>
      <c r="G8">
        <v>7.0873751602535895E-2</v>
      </c>
      <c r="H8">
        <v>1</v>
      </c>
      <c r="I8">
        <v>0.28764039531796848</v>
      </c>
      <c r="J8">
        <v>0.1118119344732935</v>
      </c>
      <c r="K8">
        <v>0.16917813764338999</v>
      </c>
      <c r="L8">
        <v>0.14196365035118499</v>
      </c>
      <c r="M8">
        <v>-1.13335472897159E-2</v>
      </c>
      <c r="N8">
        <v>4.2464427833303004E-3</v>
      </c>
      <c r="O8">
        <v>0.12861102965812149</v>
      </c>
      <c r="P8">
        <v>0.26741505403289789</v>
      </c>
      <c r="Q8">
        <v>9.3047273421848695E-2</v>
      </c>
      <c r="R8">
        <v>0.1675218733633646</v>
      </c>
      <c r="S8">
        <v>5.0543792716026999E-3</v>
      </c>
      <c r="T8">
        <v>7.6281020740440297E-2</v>
      </c>
      <c r="U8">
        <v>0.10161516118905579</v>
      </c>
      <c r="V8">
        <v>1.5076616837327099E-2</v>
      </c>
      <c r="W8">
        <v>5.4492419816611501E-2</v>
      </c>
      <c r="X8">
        <v>0.31860605976606882</v>
      </c>
      <c r="Y8">
        <v>-2.2561353922420199E-2</v>
      </c>
      <c r="Z8">
        <v>3.1836324138205398E-2</v>
      </c>
    </row>
    <row r="9" spans="1:26" x14ac:dyDescent="0.35">
      <c r="A9" s="25" t="s">
        <v>55</v>
      </c>
      <c r="B9">
        <v>1.7966063088324E-3</v>
      </c>
      <c r="C9">
        <v>0.17418518653061549</v>
      </c>
      <c r="D9">
        <v>0.23838762035066771</v>
      </c>
      <c r="E9">
        <v>0.1638807422276119</v>
      </c>
      <c r="F9">
        <v>0.18698054109438339</v>
      </c>
      <c r="G9">
        <v>0.14097200271048441</v>
      </c>
      <c r="H9">
        <v>0.28764039531796848</v>
      </c>
      <c r="I9">
        <v>1</v>
      </c>
      <c r="J9">
        <v>0.17536709920901089</v>
      </c>
      <c r="K9">
        <v>0.19330001308000319</v>
      </c>
      <c r="L9">
        <v>0.1739902928550244</v>
      </c>
      <c r="M9">
        <v>-0.24285142659836551</v>
      </c>
      <c r="N9">
        <v>8.0202098793023993E-2</v>
      </c>
      <c r="O9">
        <v>0.13058677254043979</v>
      </c>
      <c r="P9">
        <v>0.28880569326815447</v>
      </c>
      <c r="Q9">
        <v>0.1499448624729848</v>
      </c>
      <c r="R9">
        <v>1.42246023779206E-2</v>
      </c>
      <c r="S9">
        <v>6.1031674257435803E-2</v>
      </c>
      <c r="T9">
        <v>2.7039442135085901E-2</v>
      </c>
      <c r="U9">
        <v>0.21453489894987529</v>
      </c>
      <c r="V9">
        <v>-1.65548788866079E-2</v>
      </c>
      <c r="W9">
        <v>6.2495036849320002E-4</v>
      </c>
      <c r="X9">
        <v>0.40479387157417218</v>
      </c>
      <c r="Y9">
        <v>0.16313700038075371</v>
      </c>
      <c r="Z9">
        <v>-4.5671681332634897E-2</v>
      </c>
    </row>
    <row r="10" spans="1:26" x14ac:dyDescent="0.35">
      <c r="A10" s="25" t="s">
        <v>57</v>
      </c>
      <c r="B10">
        <v>0.33638895324892459</v>
      </c>
      <c r="C10">
        <v>0.29093263573519218</v>
      </c>
      <c r="D10">
        <v>1.1170913943753E-3</v>
      </c>
      <c r="E10">
        <v>0.22614391007339349</v>
      </c>
      <c r="F10">
        <v>0.14601763214422719</v>
      </c>
      <c r="G10">
        <v>7.1297829261523601E-2</v>
      </c>
      <c r="H10">
        <v>0.1118119344732935</v>
      </c>
      <c r="I10">
        <v>0.17536709920901089</v>
      </c>
      <c r="J10">
        <v>1</v>
      </c>
      <c r="K10">
        <v>0.25339720495877149</v>
      </c>
      <c r="L10">
        <v>0.2463424088526244</v>
      </c>
      <c r="M10">
        <v>-0.1643555939632419</v>
      </c>
      <c r="N10">
        <v>0.16803261732971089</v>
      </c>
      <c r="O10">
        <v>7.6958073512642097E-2</v>
      </c>
      <c r="P10">
        <v>0.3447807210234054</v>
      </c>
      <c r="Q10">
        <v>-3.2587320754778001E-3</v>
      </c>
      <c r="R10">
        <v>0.30331195293816698</v>
      </c>
      <c r="S10">
        <v>1.6254783655963199E-2</v>
      </c>
      <c r="T10">
        <v>0.15355097223448361</v>
      </c>
      <c r="U10">
        <v>0.20025110246051239</v>
      </c>
      <c r="V10">
        <v>0.1008017364084989</v>
      </c>
      <c r="W10">
        <v>0.13998107874304239</v>
      </c>
      <c r="X10">
        <v>0.28794281364295071</v>
      </c>
      <c r="Y10">
        <v>0.1272712151242637</v>
      </c>
      <c r="Z10">
        <v>0.30149727187462327</v>
      </c>
    </row>
    <row r="11" spans="1:26" x14ac:dyDescent="0.35">
      <c r="A11" s="25" t="s">
        <v>59</v>
      </c>
      <c r="B11">
        <v>3.2645062291634802E-2</v>
      </c>
      <c r="C11">
        <v>0.16012334521059601</v>
      </c>
      <c r="D11">
        <v>-6.0991755946076198E-2</v>
      </c>
      <c r="E11">
        <v>0.63269746906405211</v>
      </c>
      <c r="F11">
        <v>0.24404497042126719</v>
      </c>
      <c r="G11">
        <v>0.22170338379815871</v>
      </c>
      <c r="H11">
        <v>0.16917813764338999</v>
      </c>
      <c r="I11">
        <v>0.19330001308000319</v>
      </c>
      <c r="J11">
        <v>0.25339720495877149</v>
      </c>
      <c r="K11">
        <v>1</v>
      </c>
      <c r="L11">
        <v>7.8991830374454605E-2</v>
      </c>
      <c r="M11">
        <v>-8.4396452338264899E-2</v>
      </c>
      <c r="N11">
        <v>0.28234252187091913</v>
      </c>
      <c r="O11">
        <v>3.6108512400816001E-2</v>
      </c>
      <c r="P11">
        <v>0.2800428661958228</v>
      </c>
      <c r="Q11">
        <v>3.1001171714583501E-2</v>
      </c>
      <c r="R11">
        <v>6.0385262970167899E-2</v>
      </c>
      <c r="S11">
        <v>0.1514296973195253</v>
      </c>
      <c r="T11">
        <v>0.19236310246457969</v>
      </c>
      <c r="U11">
        <v>0.15492508688425299</v>
      </c>
      <c r="V11">
        <v>0.16325610805115151</v>
      </c>
      <c r="W11">
        <v>0.1015327910090848</v>
      </c>
      <c r="X11">
        <v>0.1905953440004074</v>
      </c>
      <c r="Y11">
        <v>7.6150705450266296E-2</v>
      </c>
      <c r="Z11">
        <v>9.6617130945281599E-2</v>
      </c>
    </row>
    <row r="12" spans="1:26" x14ac:dyDescent="0.35">
      <c r="A12" s="25" t="s">
        <v>61</v>
      </c>
      <c r="B12">
        <v>0.18707425312262169</v>
      </c>
      <c r="C12">
        <v>0.3595425255690291</v>
      </c>
      <c r="D12">
        <v>-1.6338389921921301E-2</v>
      </c>
      <c r="E12">
        <v>0.1091200060992225</v>
      </c>
      <c r="F12">
        <v>9.5970727032555103E-2</v>
      </c>
      <c r="G12">
        <v>-4.9570022462772298E-2</v>
      </c>
      <c r="H12">
        <v>0.14196365035118499</v>
      </c>
      <c r="I12">
        <v>0.1739902928550244</v>
      </c>
      <c r="J12">
        <v>0.2463424088526244</v>
      </c>
      <c r="K12">
        <v>7.8991830374454605E-2</v>
      </c>
      <c r="L12">
        <v>1</v>
      </c>
      <c r="M12">
        <v>-0.23270816215393289</v>
      </c>
      <c r="N12">
        <v>0.13638263407789861</v>
      </c>
      <c r="O12">
        <v>0.35871163531156602</v>
      </c>
      <c r="P12">
        <v>0.1319626140153525</v>
      </c>
      <c r="Q12">
        <v>1.2595783565185E-3</v>
      </c>
      <c r="R12">
        <v>0.12140104049048871</v>
      </c>
      <c r="S12">
        <v>-4.5939863474081202E-2</v>
      </c>
      <c r="T12">
        <v>2.6658034200599399E-2</v>
      </c>
      <c r="U12">
        <v>0.19988893009464459</v>
      </c>
      <c r="V12">
        <v>6.5217351279997393E-2</v>
      </c>
      <c r="W12">
        <v>2.4964016530603199E-2</v>
      </c>
      <c r="X12">
        <v>0.12179331854621051</v>
      </c>
      <c r="Y12">
        <v>0.2450844156901604</v>
      </c>
      <c r="Z12">
        <v>0.10689446693210269</v>
      </c>
    </row>
    <row r="13" spans="1:26" x14ac:dyDescent="0.35">
      <c r="A13" s="25" t="s">
        <v>63</v>
      </c>
      <c r="B13">
        <v>7.3009511242116002E-3</v>
      </c>
      <c r="C13">
        <v>-0.1113532345707257</v>
      </c>
      <c r="D13">
        <v>6.1784090540377701E-2</v>
      </c>
      <c r="E13">
        <v>-4.0237430307138002E-3</v>
      </c>
      <c r="F13">
        <v>5.90648869708712E-2</v>
      </c>
      <c r="G13">
        <v>8.1184181709810996E-2</v>
      </c>
      <c r="H13">
        <v>-1.13335472897159E-2</v>
      </c>
      <c r="I13">
        <v>-0.24285142659836551</v>
      </c>
      <c r="J13">
        <v>-0.1643555939632419</v>
      </c>
      <c r="K13">
        <v>-8.4396452338264899E-2</v>
      </c>
      <c r="L13">
        <v>-0.23270816215393289</v>
      </c>
      <c r="M13">
        <v>1</v>
      </c>
      <c r="N13">
        <v>9.9071490721696007E-2</v>
      </c>
      <c r="O13">
        <v>-0.33138737542625152</v>
      </c>
      <c r="P13">
        <v>4.3928639607525397E-2</v>
      </c>
      <c r="Q13">
        <v>2.2010649155446399E-2</v>
      </c>
      <c r="R13">
        <v>-2.2095730438201101E-2</v>
      </c>
      <c r="S13">
        <v>-7.0610448910790505E-2</v>
      </c>
      <c r="T13">
        <v>5.1531037767477299E-2</v>
      </c>
      <c r="U13">
        <v>-0.16639029283256709</v>
      </c>
      <c r="V13">
        <v>0.1887829773591623</v>
      </c>
      <c r="W13">
        <v>6.7413735772195504E-2</v>
      </c>
      <c r="X13">
        <v>-4.3146285517249597E-2</v>
      </c>
      <c r="Y13">
        <v>-6.4575515718885895E-2</v>
      </c>
      <c r="Z13">
        <v>0.1094949596362307</v>
      </c>
    </row>
    <row r="14" spans="1:26" x14ac:dyDescent="0.35">
      <c r="A14" s="25" t="s">
        <v>65</v>
      </c>
      <c r="B14">
        <v>0.18870478395484719</v>
      </c>
      <c r="C14">
        <v>-3.0399195018446E-3</v>
      </c>
      <c r="D14">
        <v>2.1374549893703101E-2</v>
      </c>
      <c r="E14">
        <v>0.27380486921087188</v>
      </c>
      <c r="F14">
        <v>0.18583313006031019</v>
      </c>
      <c r="G14">
        <v>0.11214472477502301</v>
      </c>
      <c r="H14">
        <v>4.2464427833303004E-3</v>
      </c>
      <c r="I14">
        <v>8.0202098793023993E-2</v>
      </c>
      <c r="J14">
        <v>0.16803261732971089</v>
      </c>
      <c r="K14">
        <v>0.28234252187091913</v>
      </c>
      <c r="L14">
        <v>0.13638263407789861</v>
      </c>
      <c r="M14">
        <v>9.9071490721696007E-2</v>
      </c>
      <c r="N14">
        <v>1</v>
      </c>
      <c r="O14">
        <v>0.1577200006356099</v>
      </c>
      <c r="P14">
        <v>0.240221976002991</v>
      </c>
      <c r="Q14">
        <v>-8.0566018031365001E-3</v>
      </c>
      <c r="R14">
        <v>0.16906766481106811</v>
      </c>
      <c r="S14">
        <v>5.2060562723605999E-3</v>
      </c>
      <c r="T14">
        <v>0.33205540369319519</v>
      </c>
      <c r="U14">
        <v>0.10303581178380709</v>
      </c>
      <c r="V14">
        <v>0.21747286971667129</v>
      </c>
      <c r="W14">
        <v>3.2761745325357E-2</v>
      </c>
      <c r="X14">
        <v>0.12647406527303909</v>
      </c>
      <c r="Y14">
        <v>0.1645584645666415</v>
      </c>
      <c r="Z14">
        <v>0.13941995406423019</v>
      </c>
    </row>
    <row r="15" spans="1:26" x14ac:dyDescent="0.35">
      <c r="A15" s="25" t="s">
        <v>67</v>
      </c>
      <c r="B15">
        <v>0.22149716534370159</v>
      </c>
      <c r="C15">
        <v>0.1942879022720482</v>
      </c>
      <c r="D15">
        <v>2.7613224010021298E-2</v>
      </c>
      <c r="E15">
        <v>0.15215953829429199</v>
      </c>
      <c r="F15">
        <v>4.1715562503604503E-2</v>
      </c>
      <c r="G15">
        <v>-8.7643926938197995E-3</v>
      </c>
      <c r="H15">
        <v>0.12861102965812149</v>
      </c>
      <c r="I15">
        <v>0.13058677254043979</v>
      </c>
      <c r="J15">
        <v>7.6958073512642097E-2</v>
      </c>
      <c r="K15">
        <v>3.6108512400816001E-2</v>
      </c>
      <c r="L15">
        <v>0.35871163531156602</v>
      </c>
      <c r="M15">
        <v>-0.33138737542625152</v>
      </c>
      <c r="N15">
        <v>0.1577200006356099</v>
      </c>
      <c r="O15">
        <v>1</v>
      </c>
      <c r="P15">
        <v>0.2269871440874186</v>
      </c>
      <c r="Q15">
        <v>-0.12535032140092839</v>
      </c>
      <c r="R15">
        <v>0.17901475851392731</v>
      </c>
      <c r="S15">
        <v>6.5938994112272999E-3</v>
      </c>
      <c r="T15">
        <v>0.13409687555968491</v>
      </c>
      <c r="U15">
        <v>0.27192301250448919</v>
      </c>
      <c r="V15">
        <v>5.1059398645412403E-2</v>
      </c>
      <c r="W15">
        <v>4.6657018536626002E-3</v>
      </c>
      <c r="X15">
        <v>6.3313389201464704E-2</v>
      </c>
      <c r="Y15">
        <v>0.17156918577786689</v>
      </c>
      <c r="Z15">
        <v>-4.2675244580014801E-2</v>
      </c>
    </row>
    <row r="16" spans="1:26" x14ac:dyDescent="0.35">
      <c r="A16" s="25" t="s">
        <v>69</v>
      </c>
      <c r="B16">
        <v>0.25578952091976331</v>
      </c>
      <c r="C16">
        <v>0.1212988939127362</v>
      </c>
      <c r="D16">
        <v>0.1176669102176333</v>
      </c>
      <c r="E16">
        <v>0.42034291777293958</v>
      </c>
      <c r="F16">
        <v>0.3304902120317052</v>
      </c>
      <c r="G16">
        <v>0.1594773993765182</v>
      </c>
      <c r="H16">
        <v>0.26741505403289789</v>
      </c>
      <c r="I16">
        <v>0.28880569326815447</v>
      </c>
      <c r="J16">
        <v>0.3447807210234054</v>
      </c>
      <c r="K16">
        <v>0.2800428661958228</v>
      </c>
      <c r="L16">
        <v>0.1319626140153525</v>
      </c>
      <c r="M16">
        <v>4.3928639607525397E-2</v>
      </c>
      <c r="N16">
        <v>0.240221976002991</v>
      </c>
      <c r="O16">
        <v>0.2269871440874186</v>
      </c>
      <c r="P16">
        <v>1</v>
      </c>
      <c r="Q16">
        <v>0.1124451563371316</v>
      </c>
      <c r="R16">
        <v>0.21436712807691849</v>
      </c>
      <c r="S16">
        <v>3.1526798921134802E-2</v>
      </c>
      <c r="T16">
        <v>0.23709514161513989</v>
      </c>
      <c r="U16">
        <v>0.15450236843889001</v>
      </c>
      <c r="V16">
        <v>0.18625116939463129</v>
      </c>
      <c r="W16">
        <v>0.207238798146471</v>
      </c>
      <c r="X16">
        <v>0.3208110032803736</v>
      </c>
      <c r="Y16">
        <v>0.1332832620981351</v>
      </c>
      <c r="Z16">
        <v>0.29773882895792431</v>
      </c>
    </row>
    <row r="17" spans="1:26" x14ac:dyDescent="0.35">
      <c r="A17" s="25" t="s">
        <v>71</v>
      </c>
      <c r="B17">
        <v>-0.1958456954071188</v>
      </c>
      <c r="C17">
        <v>-2.58590074499646E-2</v>
      </c>
      <c r="D17">
        <v>-2.2656342032670001E-4</v>
      </c>
      <c r="E17">
        <v>-5.1756657772990801E-2</v>
      </c>
      <c r="F17">
        <v>5.3346226863769601E-2</v>
      </c>
      <c r="G17">
        <v>9.0549673828047503E-2</v>
      </c>
      <c r="H17">
        <v>9.3047273421848695E-2</v>
      </c>
      <c r="I17">
        <v>0.1499448624729848</v>
      </c>
      <c r="J17">
        <v>-3.2587320754778001E-3</v>
      </c>
      <c r="K17">
        <v>3.1001171714583501E-2</v>
      </c>
      <c r="L17">
        <v>1.2595783565185E-3</v>
      </c>
      <c r="M17">
        <v>2.2010649155446399E-2</v>
      </c>
      <c r="N17">
        <v>-8.0566018031365001E-3</v>
      </c>
      <c r="O17">
        <v>-0.12535032140092839</v>
      </c>
      <c r="P17">
        <v>0.1124451563371316</v>
      </c>
      <c r="Q17">
        <v>1</v>
      </c>
      <c r="R17">
        <v>-0.1018877025159478</v>
      </c>
      <c r="S17">
        <v>0.17056827783408149</v>
      </c>
      <c r="T17">
        <v>-3.3700504432199102E-2</v>
      </c>
      <c r="U17">
        <v>0.1130822734999793</v>
      </c>
      <c r="V17">
        <v>9.5195730008134194E-2</v>
      </c>
      <c r="W17">
        <v>0.16877891739258841</v>
      </c>
      <c r="X17">
        <v>6.5271159743714099E-2</v>
      </c>
      <c r="Y17">
        <v>7.93618799121735E-2</v>
      </c>
      <c r="Z17">
        <v>0.1068911725333191</v>
      </c>
    </row>
    <row r="18" spans="1:26" x14ac:dyDescent="0.35">
      <c r="A18" s="25" t="s">
        <v>74</v>
      </c>
      <c r="B18">
        <v>0.3358524662850369</v>
      </c>
      <c r="C18">
        <v>0.1409481851478695</v>
      </c>
      <c r="D18">
        <v>6.9056002234486297E-2</v>
      </c>
      <c r="E18">
        <v>6.1021041498203997E-2</v>
      </c>
      <c r="F18">
        <v>6.9951437288169299E-2</v>
      </c>
      <c r="G18">
        <v>9.6350793391588599E-2</v>
      </c>
      <c r="H18">
        <v>0.1675218733633646</v>
      </c>
      <c r="I18">
        <v>1.42246023779206E-2</v>
      </c>
      <c r="J18">
        <v>0.30331195293816698</v>
      </c>
      <c r="K18">
        <v>6.0385262970167899E-2</v>
      </c>
      <c r="L18">
        <v>0.12140104049048871</v>
      </c>
      <c r="M18">
        <v>-2.2095730438201101E-2</v>
      </c>
      <c r="N18">
        <v>0.16906766481106811</v>
      </c>
      <c r="O18">
        <v>0.17901475851392731</v>
      </c>
      <c r="P18">
        <v>0.21436712807691849</v>
      </c>
      <c r="Q18">
        <v>-0.1018877025159478</v>
      </c>
      <c r="R18">
        <v>1</v>
      </c>
      <c r="S18">
        <v>7.0274940131676095E-2</v>
      </c>
      <c r="T18">
        <v>0.14878878173199639</v>
      </c>
      <c r="U18">
        <v>0.18300873318606331</v>
      </c>
      <c r="V18">
        <v>5.7195241872245298E-2</v>
      </c>
      <c r="W18">
        <v>6.5295760000644104E-2</v>
      </c>
      <c r="X18">
        <v>0.16598457262074659</v>
      </c>
      <c r="Y18">
        <v>0.17724055001543751</v>
      </c>
      <c r="Z18">
        <v>0.14706923881150341</v>
      </c>
    </row>
    <row r="19" spans="1:26" x14ac:dyDescent="0.35">
      <c r="A19" s="25" t="s">
        <v>77</v>
      </c>
      <c r="B19">
        <v>2.6861301405985E-2</v>
      </c>
      <c r="C19">
        <v>0.1376200955438184</v>
      </c>
      <c r="D19">
        <v>-0.1202238025768065</v>
      </c>
      <c r="E19">
        <v>3.1589098725179197E-2</v>
      </c>
      <c r="F19">
        <v>0.1064133884480062</v>
      </c>
      <c r="G19">
        <v>0.12892857900103261</v>
      </c>
      <c r="H19">
        <v>5.0543792716026999E-3</v>
      </c>
      <c r="I19">
        <v>6.1031674257435803E-2</v>
      </c>
      <c r="J19">
        <v>1.6254783655963199E-2</v>
      </c>
      <c r="K19">
        <v>0.1514296973195253</v>
      </c>
      <c r="L19">
        <v>-4.5939863474081202E-2</v>
      </c>
      <c r="M19">
        <v>-7.0610448910790505E-2</v>
      </c>
      <c r="N19">
        <v>5.2060562723605999E-3</v>
      </c>
      <c r="O19">
        <v>6.5938994112272999E-3</v>
      </c>
      <c r="P19">
        <v>3.1526798921134802E-2</v>
      </c>
      <c r="Q19">
        <v>0.17056827783408149</v>
      </c>
      <c r="R19">
        <v>7.0274940131676095E-2</v>
      </c>
      <c r="S19">
        <v>1</v>
      </c>
      <c r="T19">
        <v>3.8514696912328401E-2</v>
      </c>
      <c r="U19">
        <v>4.37795269933106E-2</v>
      </c>
      <c r="V19">
        <v>-5.8644561955881998E-3</v>
      </c>
      <c r="W19">
        <v>7.31495581677713E-2</v>
      </c>
      <c r="X19">
        <v>0.1145229065646597</v>
      </c>
      <c r="Y19">
        <v>8.9072959555272099E-2</v>
      </c>
      <c r="Z19">
        <v>-6.2744073932230596E-2</v>
      </c>
    </row>
    <row r="20" spans="1:26" x14ac:dyDescent="0.35">
      <c r="A20" s="25" t="s">
        <v>79</v>
      </c>
      <c r="B20">
        <v>0.2429838592381213</v>
      </c>
      <c r="C20">
        <v>0.155569020276938</v>
      </c>
      <c r="D20">
        <v>1.39020039280648E-2</v>
      </c>
      <c r="E20">
        <v>0.23586807962533271</v>
      </c>
      <c r="F20">
        <v>0.2145843863776723</v>
      </c>
      <c r="G20">
        <v>8.4711919244288295E-2</v>
      </c>
      <c r="H20">
        <v>7.6281020740440297E-2</v>
      </c>
      <c r="I20">
        <v>2.7039442135085901E-2</v>
      </c>
      <c r="J20">
        <v>0.15355097223448361</v>
      </c>
      <c r="K20">
        <v>0.19236310246457969</v>
      </c>
      <c r="L20">
        <v>2.6658034200599399E-2</v>
      </c>
      <c r="M20">
        <v>5.1531037767477299E-2</v>
      </c>
      <c r="N20">
        <v>0.33205540369319519</v>
      </c>
      <c r="O20">
        <v>0.13409687555968491</v>
      </c>
      <c r="P20">
        <v>0.23709514161513989</v>
      </c>
      <c r="Q20">
        <v>-3.3700504432199102E-2</v>
      </c>
      <c r="R20">
        <v>0.14878878173199639</v>
      </c>
      <c r="S20">
        <v>3.8514696912328401E-2</v>
      </c>
      <c r="T20">
        <v>1</v>
      </c>
      <c r="U20">
        <v>0.1328595908559087</v>
      </c>
      <c r="V20">
        <v>0.1133876446215034</v>
      </c>
      <c r="W20">
        <v>0.19142186097708741</v>
      </c>
      <c r="X20">
        <v>0.12235973418774269</v>
      </c>
      <c r="Y20">
        <v>3.2022966513411598E-2</v>
      </c>
      <c r="Z20">
        <v>0.2599992106456096</v>
      </c>
    </row>
    <row r="21" spans="1:26" x14ac:dyDescent="0.35">
      <c r="A21" s="25" t="s">
        <v>81</v>
      </c>
      <c r="B21">
        <v>0.102460914282629</v>
      </c>
      <c r="C21">
        <v>0.13872561615837981</v>
      </c>
      <c r="D21">
        <v>5.8741925399232897E-2</v>
      </c>
      <c r="E21">
        <v>0.13133868765484669</v>
      </c>
      <c r="F21">
        <v>9.6606554664502395E-2</v>
      </c>
      <c r="G21">
        <v>4.8836456094237202E-2</v>
      </c>
      <c r="H21">
        <v>0.10161516118905579</v>
      </c>
      <c r="I21">
        <v>0.21453489894987529</v>
      </c>
      <c r="J21">
        <v>0.20025110246051239</v>
      </c>
      <c r="K21">
        <v>0.15492508688425299</v>
      </c>
      <c r="L21">
        <v>0.19988893009464459</v>
      </c>
      <c r="M21">
        <v>-0.16639029283256709</v>
      </c>
      <c r="N21">
        <v>0.10303581178380709</v>
      </c>
      <c r="O21">
        <v>0.27192301250448919</v>
      </c>
      <c r="P21">
        <v>0.15450236843889001</v>
      </c>
      <c r="Q21">
        <v>0.1130822734999793</v>
      </c>
      <c r="R21">
        <v>0.18300873318606331</v>
      </c>
      <c r="S21">
        <v>4.37795269933106E-2</v>
      </c>
      <c r="T21">
        <v>0.1328595908559087</v>
      </c>
      <c r="U21">
        <v>1</v>
      </c>
      <c r="V21">
        <v>-1.4375139468745701E-2</v>
      </c>
      <c r="W21">
        <v>1.9093386988469602E-2</v>
      </c>
      <c r="X21">
        <v>0.14020782854945299</v>
      </c>
      <c r="Y21">
        <v>0.22604890968160199</v>
      </c>
      <c r="Z21">
        <v>-6.7199861248245004E-3</v>
      </c>
    </row>
    <row r="22" spans="1:26" x14ac:dyDescent="0.35">
      <c r="A22" s="25" t="s">
        <v>83</v>
      </c>
      <c r="B22">
        <v>0.19806389817517239</v>
      </c>
      <c r="C22">
        <v>-2.4188505969186799E-2</v>
      </c>
      <c r="D22">
        <v>-6.8501896007691104E-2</v>
      </c>
      <c r="E22">
        <v>0.24805574058078289</v>
      </c>
      <c r="F22">
        <v>0.19194183551827459</v>
      </c>
      <c r="G22">
        <v>4.1488110377115903E-2</v>
      </c>
      <c r="H22">
        <v>1.5076616837327099E-2</v>
      </c>
      <c r="I22">
        <v>-1.65548788866079E-2</v>
      </c>
      <c r="J22">
        <v>0.1008017364084989</v>
      </c>
      <c r="K22">
        <v>0.16325610805115151</v>
      </c>
      <c r="L22">
        <v>6.5217351279997393E-2</v>
      </c>
      <c r="M22">
        <v>0.1887829773591623</v>
      </c>
      <c r="N22">
        <v>0.21747286971667129</v>
      </c>
      <c r="O22">
        <v>5.1059398645412403E-2</v>
      </c>
      <c r="P22">
        <v>0.18625116939463129</v>
      </c>
      <c r="Q22">
        <v>9.5195730008134194E-2</v>
      </c>
      <c r="R22">
        <v>5.7195241872245298E-2</v>
      </c>
      <c r="S22">
        <v>-5.8644561955881998E-3</v>
      </c>
      <c r="T22">
        <v>0.1133876446215034</v>
      </c>
      <c r="U22">
        <v>-1.4375139468745701E-2</v>
      </c>
      <c r="V22">
        <v>1</v>
      </c>
      <c r="W22">
        <v>8.3362892633213101E-2</v>
      </c>
      <c r="X22">
        <v>0.1159630867392501</v>
      </c>
      <c r="Y22">
        <v>6.0167568716389098E-2</v>
      </c>
      <c r="Z22">
        <v>8.3401213656909598E-2</v>
      </c>
    </row>
    <row r="23" spans="1:26" x14ac:dyDescent="0.35">
      <c r="A23" s="25" t="s">
        <v>85</v>
      </c>
      <c r="B23">
        <v>0.1622248907161056</v>
      </c>
      <c r="C23">
        <v>0.10871109775555959</v>
      </c>
      <c r="D23">
        <v>-4.2586305364370698E-2</v>
      </c>
      <c r="E23">
        <v>0.1873931852489745</v>
      </c>
      <c r="F23">
        <v>0.15405469946378761</v>
      </c>
      <c r="G23">
        <v>-2.1756094205822901E-2</v>
      </c>
      <c r="H23">
        <v>5.4492419816611501E-2</v>
      </c>
      <c r="I23">
        <v>6.2495036849320002E-4</v>
      </c>
      <c r="J23">
        <v>0.13998107874304239</v>
      </c>
      <c r="K23">
        <v>0.1015327910090848</v>
      </c>
      <c r="L23">
        <v>2.4964016530603199E-2</v>
      </c>
      <c r="M23">
        <v>6.7413735772195504E-2</v>
      </c>
      <c r="N23">
        <v>3.2761745325357E-2</v>
      </c>
      <c r="O23">
        <v>4.6657018536626002E-3</v>
      </c>
      <c r="P23">
        <v>0.207238798146471</v>
      </c>
      <c r="Q23">
        <v>0.16877891739258841</v>
      </c>
      <c r="R23">
        <v>6.5295760000644104E-2</v>
      </c>
      <c r="S23">
        <v>7.31495581677713E-2</v>
      </c>
      <c r="T23">
        <v>0.19142186097708741</v>
      </c>
      <c r="U23">
        <v>1.9093386988469602E-2</v>
      </c>
      <c r="V23">
        <v>8.3362892633213101E-2</v>
      </c>
      <c r="W23">
        <v>1</v>
      </c>
      <c r="X23">
        <v>2.78414538540263E-2</v>
      </c>
      <c r="Y23">
        <v>-4.4065748628802699E-2</v>
      </c>
      <c r="Z23">
        <v>0.64603056454762164</v>
      </c>
    </row>
    <row r="24" spans="1:26" x14ac:dyDescent="0.35">
      <c r="A24" s="25" t="s">
        <v>87</v>
      </c>
      <c r="B24">
        <v>1.02511816850721E-2</v>
      </c>
      <c r="C24">
        <v>0.16548740693965949</v>
      </c>
      <c r="D24">
        <v>0.25682118895134881</v>
      </c>
      <c r="E24">
        <v>0.26448796463607732</v>
      </c>
      <c r="F24">
        <v>0.32977284610934648</v>
      </c>
      <c r="G24">
        <v>0.26819315157213541</v>
      </c>
      <c r="H24">
        <v>0.31860605976606882</v>
      </c>
      <c r="I24">
        <v>0.40479387157417218</v>
      </c>
      <c r="J24">
        <v>0.28794281364295071</v>
      </c>
      <c r="K24">
        <v>0.1905953440004074</v>
      </c>
      <c r="L24">
        <v>0.12179331854621051</v>
      </c>
      <c r="M24">
        <v>-4.3146285517249597E-2</v>
      </c>
      <c r="N24">
        <v>0.12647406527303909</v>
      </c>
      <c r="O24">
        <v>6.3313389201464704E-2</v>
      </c>
      <c r="P24">
        <v>0.3208110032803736</v>
      </c>
      <c r="Q24">
        <v>6.5271159743714099E-2</v>
      </c>
      <c r="R24">
        <v>0.16598457262074659</v>
      </c>
      <c r="S24">
        <v>0.1145229065646597</v>
      </c>
      <c r="T24">
        <v>0.12235973418774269</v>
      </c>
      <c r="U24">
        <v>0.14020782854945299</v>
      </c>
      <c r="V24">
        <v>0.1159630867392501</v>
      </c>
      <c r="W24">
        <v>2.78414538540263E-2</v>
      </c>
      <c r="X24">
        <v>1</v>
      </c>
      <c r="Y24">
        <v>0.1493403720060914</v>
      </c>
      <c r="Z24">
        <v>4.8290410046433897E-2</v>
      </c>
    </row>
    <row r="25" spans="1:26" x14ac:dyDescent="0.35">
      <c r="A25" s="25" t="s">
        <v>89</v>
      </c>
      <c r="B25">
        <v>0.20082446594708209</v>
      </c>
      <c r="C25">
        <v>1.8251805289933999E-3</v>
      </c>
      <c r="D25">
        <v>-8.9086047760923992E-3</v>
      </c>
      <c r="E25">
        <v>2.05493580981942E-2</v>
      </c>
      <c r="F25">
        <v>9.6120401160155397E-2</v>
      </c>
      <c r="G25">
        <v>9.96663098099516E-2</v>
      </c>
      <c r="H25">
        <v>-2.2561353922420199E-2</v>
      </c>
      <c r="I25">
        <v>0.16313700038075371</v>
      </c>
      <c r="J25">
        <v>0.1272712151242637</v>
      </c>
      <c r="K25">
        <v>7.6150705450266296E-2</v>
      </c>
      <c r="L25">
        <v>0.2450844156901604</v>
      </c>
      <c r="M25">
        <v>-6.4575515718885895E-2</v>
      </c>
      <c r="N25">
        <v>0.1645584645666415</v>
      </c>
      <c r="O25">
        <v>0.17156918577786689</v>
      </c>
      <c r="P25">
        <v>0.1332832620981351</v>
      </c>
      <c r="Q25">
        <v>7.93618799121735E-2</v>
      </c>
      <c r="R25">
        <v>0.17724055001543751</v>
      </c>
      <c r="S25">
        <v>8.9072959555272099E-2</v>
      </c>
      <c r="T25">
        <v>3.2022966513411598E-2</v>
      </c>
      <c r="U25">
        <v>0.22604890968160199</v>
      </c>
      <c r="V25">
        <v>6.0167568716389098E-2</v>
      </c>
      <c r="W25">
        <v>-4.4065748628802699E-2</v>
      </c>
      <c r="X25">
        <v>0.1493403720060914</v>
      </c>
      <c r="Y25">
        <v>1</v>
      </c>
      <c r="Z25">
        <v>-9.2738865052846495E-2</v>
      </c>
    </row>
    <row r="26" spans="1:26" x14ac:dyDescent="0.35">
      <c r="A26" s="25" t="s">
        <v>91</v>
      </c>
      <c r="B26">
        <v>0.16397420846298719</v>
      </c>
      <c r="C26">
        <v>0.16952654543373449</v>
      </c>
      <c r="D26">
        <v>8.8227768598802006E-2</v>
      </c>
      <c r="E26">
        <v>0.2188133472782933</v>
      </c>
      <c r="F26">
        <v>0.13838410502548781</v>
      </c>
      <c r="G26">
        <v>1.1820596169731501E-2</v>
      </c>
      <c r="H26">
        <v>3.1836324138205398E-2</v>
      </c>
      <c r="I26">
        <v>-4.5671681332634897E-2</v>
      </c>
      <c r="J26">
        <v>0.30149727187462327</v>
      </c>
      <c r="K26">
        <v>9.6617130945281599E-2</v>
      </c>
      <c r="L26">
        <v>0.10689446693210269</v>
      </c>
      <c r="M26">
        <v>0.1094949596362307</v>
      </c>
      <c r="N26">
        <v>0.13941995406423019</v>
      </c>
      <c r="O26">
        <v>-4.2675244580014801E-2</v>
      </c>
      <c r="P26">
        <v>0.29773882895792431</v>
      </c>
      <c r="Q26">
        <v>0.1068911725333191</v>
      </c>
      <c r="R26">
        <v>0.14706923881150341</v>
      </c>
      <c r="S26">
        <v>-6.2744073932230596E-2</v>
      </c>
      <c r="T26">
        <v>0.2599992106456096</v>
      </c>
      <c r="U26">
        <v>-6.7199861248245004E-3</v>
      </c>
      <c r="V26">
        <v>8.3401213656909598E-2</v>
      </c>
      <c r="W26">
        <v>0.64603056454762164</v>
      </c>
      <c r="X26">
        <v>4.8290410046433897E-2</v>
      </c>
      <c r="Y26">
        <v>-9.2738865052846495E-2</v>
      </c>
      <c r="Z26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Instructions</vt:lpstr>
      <vt:lpstr>Stock Data</vt:lpstr>
      <vt:lpstr>Optimization</vt:lpstr>
      <vt:lpstr>G&amp;K Analytics</vt:lpstr>
      <vt:lpstr>Dashboard</vt:lpstr>
      <vt:lpstr>Covariance Matrix</vt:lpstr>
      <vt:lpstr>Correlation Matrix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Josh Gutierrez</cp:lastModifiedBy>
  <dcterms:created xsi:type="dcterms:W3CDTF">2025-12-29T16:38:29Z</dcterms:created>
  <dcterms:modified xsi:type="dcterms:W3CDTF">2025-12-29T21:29:33Z</dcterms:modified>
</cp:coreProperties>
</file>